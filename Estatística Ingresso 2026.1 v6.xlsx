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GRAD-00187849\Desktop\SISTEMA\"/>
    </mc:Choice>
  </mc:AlternateContent>
  <xr:revisionPtr revIDLastSave="0" documentId="8_{0F259F6F-CDE4-4132-B794-27C386517F6F}" xr6:coauthVersionLast="47" xr6:coauthVersionMax="47" xr10:uidLastSave="{00000000-0000-0000-0000-000000000000}"/>
  <bookViews>
    <workbookView xWindow="28680" yWindow="-120" windowWidth="29040" windowHeight="15720" xr2:uid="{AEBFAA55-8FC6-4A95-92B9-412C9ED12B30}"/>
  </bookViews>
  <sheets>
    <sheet name="VEST + SISU (2)" sheetId="1" r:id="rId1"/>
    <sheet name="Planilha1" sheetId="2" r:id="rId2"/>
    <sheet name="Planilha2" sheetId="3" r:id="rId3"/>
  </sheets>
  <definedNames>
    <definedName name="_xlnm._FilterDatabase" localSheetId="0" hidden="1">'VEST + SISU (2)'!$A$9:$AA$152</definedName>
    <definedName name="_xlnm.Print_Area" localSheetId="0">'VEST + SISU (2)'!$A$1:$AA$152</definedName>
    <definedName name="_xlnm.Print_Titles" localSheetId="0">'VEST + SISU (2)'!$1:$9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2" i="1" l="1"/>
  <c r="X14" i="1"/>
  <c r="X15" i="1"/>
  <c r="X38" i="1"/>
  <c r="X81" i="1"/>
  <c r="X114" i="1"/>
  <c r="X115" i="1"/>
  <c r="X116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Z81" i="1"/>
  <c r="Z14" i="1"/>
  <c r="Z15" i="1"/>
  <c r="Z38" i="1"/>
  <c r="Z114" i="1"/>
  <c r="Z115" i="1"/>
  <c r="Z116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W10" i="1"/>
  <c r="Y10" i="1"/>
  <c r="Z10" i="1"/>
  <c r="AA10" i="1" s="1"/>
  <c r="W11" i="1"/>
  <c r="Y11" i="1"/>
  <c r="W12" i="1"/>
  <c r="Y12" i="1"/>
  <c r="W13" i="1"/>
  <c r="Y13" i="1"/>
  <c r="W14" i="1"/>
  <c r="Y14" i="1"/>
  <c r="W15" i="1"/>
  <c r="Y15" i="1"/>
  <c r="W16" i="1"/>
  <c r="Y16" i="1"/>
  <c r="W17" i="1"/>
  <c r="Y17" i="1"/>
  <c r="W18" i="1"/>
  <c r="Y18" i="1"/>
  <c r="W19" i="1"/>
  <c r="Y19" i="1"/>
  <c r="W20" i="1"/>
  <c r="Y20" i="1"/>
  <c r="W21" i="1"/>
  <c r="Y21" i="1"/>
  <c r="W22" i="1"/>
  <c r="Y22" i="1"/>
  <c r="W23" i="1"/>
  <c r="Y23" i="1"/>
  <c r="W24" i="1"/>
  <c r="Y24" i="1"/>
  <c r="W25" i="1"/>
  <c r="Y25" i="1"/>
  <c r="W26" i="1"/>
  <c r="Y26" i="1"/>
  <c r="W27" i="1"/>
  <c r="Y27" i="1"/>
  <c r="W28" i="1"/>
  <c r="Y28" i="1"/>
  <c r="W29" i="1"/>
  <c r="Y29" i="1"/>
  <c r="W30" i="1"/>
  <c r="Y30" i="1"/>
  <c r="W31" i="1"/>
  <c r="Y31" i="1"/>
  <c r="W32" i="1"/>
  <c r="Y32" i="1"/>
  <c r="W33" i="1"/>
  <c r="Y33" i="1"/>
  <c r="W34" i="1"/>
  <c r="Y34" i="1"/>
  <c r="W35" i="1"/>
  <c r="Y35" i="1"/>
  <c r="W36" i="1"/>
  <c r="Y36" i="1"/>
  <c r="W37" i="1"/>
  <c r="Y37" i="1"/>
  <c r="W38" i="1"/>
  <c r="Y38" i="1"/>
  <c r="W39" i="1"/>
  <c r="Y39" i="1"/>
  <c r="W40" i="1"/>
  <c r="Y40" i="1"/>
  <c r="W41" i="1"/>
  <c r="Y41" i="1"/>
  <c r="W42" i="1"/>
  <c r="Y42" i="1"/>
  <c r="W43" i="1"/>
  <c r="Y43" i="1"/>
  <c r="W44" i="1"/>
  <c r="Y44" i="1"/>
  <c r="W45" i="1"/>
  <c r="Y45" i="1"/>
  <c r="W46" i="1"/>
  <c r="Y46" i="1"/>
  <c r="W47" i="1"/>
  <c r="Y47" i="1"/>
  <c r="W48" i="1"/>
  <c r="Y48" i="1"/>
  <c r="W49" i="1"/>
  <c r="Y49" i="1"/>
  <c r="W50" i="1"/>
  <c r="Y50" i="1"/>
  <c r="W51" i="1"/>
  <c r="Y51" i="1"/>
  <c r="W52" i="1"/>
  <c r="Y52" i="1"/>
  <c r="W53" i="1"/>
  <c r="Y53" i="1"/>
  <c r="W54" i="1"/>
  <c r="Y54" i="1"/>
  <c r="W55" i="1"/>
  <c r="Y55" i="1"/>
  <c r="W56" i="1"/>
  <c r="Y56" i="1"/>
  <c r="W57" i="1"/>
  <c r="Y57" i="1"/>
  <c r="W58" i="1"/>
  <c r="Y58" i="1"/>
  <c r="W59" i="1"/>
  <c r="Y59" i="1"/>
  <c r="W60" i="1"/>
  <c r="Y60" i="1"/>
  <c r="W61" i="1"/>
  <c r="Y61" i="1"/>
  <c r="W62" i="1"/>
  <c r="Y62" i="1"/>
  <c r="W63" i="1"/>
  <c r="Y63" i="1"/>
  <c r="W64" i="1"/>
  <c r="Y64" i="1"/>
  <c r="W65" i="1"/>
  <c r="Y65" i="1"/>
  <c r="W66" i="1"/>
  <c r="Y66" i="1"/>
  <c r="W67" i="1"/>
  <c r="Y67" i="1"/>
  <c r="W68" i="1"/>
  <c r="Y68" i="1"/>
  <c r="W69" i="1"/>
  <c r="Y69" i="1"/>
  <c r="W70" i="1"/>
  <c r="Y70" i="1"/>
  <c r="W71" i="1"/>
  <c r="Y71" i="1"/>
  <c r="W72" i="1"/>
  <c r="Y72" i="1"/>
  <c r="W73" i="1"/>
  <c r="Y73" i="1"/>
  <c r="W74" i="1"/>
  <c r="Y74" i="1"/>
  <c r="W75" i="1"/>
  <c r="Y75" i="1"/>
  <c r="W76" i="1"/>
  <c r="Y76" i="1"/>
  <c r="W77" i="1"/>
  <c r="Y77" i="1"/>
  <c r="W78" i="1"/>
  <c r="Y78" i="1"/>
  <c r="W79" i="1"/>
  <c r="Y79" i="1"/>
  <c r="W80" i="1"/>
  <c r="Y80" i="1"/>
  <c r="W81" i="1"/>
  <c r="Y81" i="1"/>
  <c r="W82" i="1"/>
  <c r="Y82" i="1"/>
  <c r="W83" i="1"/>
  <c r="Y83" i="1"/>
  <c r="W84" i="1"/>
  <c r="Y84" i="1"/>
  <c r="W85" i="1"/>
  <c r="Y85" i="1"/>
  <c r="W86" i="1"/>
  <c r="Y86" i="1"/>
  <c r="W87" i="1"/>
  <c r="Y87" i="1"/>
  <c r="W88" i="1"/>
  <c r="Y88" i="1"/>
  <c r="W89" i="1"/>
  <c r="Y89" i="1"/>
  <c r="W90" i="1"/>
  <c r="Y90" i="1"/>
  <c r="W91" i="1"/>
  <c r="Y91" i="1"/>
  <c r="W92" i="1"/>
  <c r="Y92" i="1"/>
  <c r="W93" i="1"/>
  <c r="Y93" i="1"/>
  <c r="W94" i="1"/>
  <c r="Y94" i="1"/>
  <c r="W95" i="1"/>
  <c r="Y95" i="1"/>
  <c r="W96" i="1"/>
  <c r="Y96" i="1"/>
  <c r="W97" i="1"/>
  <c r="Y97" i="1"/>
  <c r="W98" i="1"/>
  <c r="Y98" i="1"/>
  <c r="W99" i="1"/>
  <c r="Y99" i="1"/>
  <c r="W100" i="1"/>
  <c r="Y100" i="1"/>
  <c r="W101" i="1"/>
  <c r="Y101" i="1"/>
  <c r="W102" i="1"/>
  <c r="Y102" i="1"/>
  <c r="W103" i="1"/>
  <c r="Y103" i="1"/>
  <c r="W104" i="1"/>
  <c r="Y104" i="1"/>
  <c r="W105" i="1"/>
  <c r="Y105" i="1"/>
  <c r="W106" i="1"/>
  <c r="Y106" i="1"/>
  <c r="W107" i="1"/>
  <c r="Y107" i="1"/>
  <c r="W108" i="1"/>
  <c r="Y108" i="1"/>
  <c r="W109" i="1"/>
  <c r="Y109" i="1"/>
  <c r="W110" i="1"/>
  <c r="Y110" i="1"/>
  <c r="W111" i="1"/>
  <c r="Y111" i="1"/>
  <c r="W112" i="1"/>
  <c r="Y112" i="1"/>
  <c r="W113" i="1"/>
  <c r="Y113" i="1"/>
  <c r="W114" i="1"/>
  <c r="Y114" i="1"/>
  <c r="W115" i="1"/>
  <c r="Y115" i="1"/>
  <c r="W116" i="1"/>
  <c r="Y116" i="1"/>
  <c r="W117" i="1"/>
  <c r="Y117" i="1"/>
  <c r="W118" i="1"/>
  <c r="Y118" i="1"/>
  <c r="W119" i="1"/>
  <c r="Y119" i="1"/>
  <c r="W120" i="1"/>
  <c r="Y120" i="1"/>
  <c r="W121" i="1"/>
  <c r="Y121" i="1"/>
  <c r="W122" i="1"/>
  <c r="Y122" i="1"/>
  <c r="W123" i="1"/>
  <c r="Y123" i="1"/>
  <c r="W124" i="1"/>
  <c r="Y124" i="1"/>
  <c r="W125" i="1"/>
  <c r="Y125" i="1"/>
  <c r="W126" i="1"/>
  <c r="Y126" i="1"/>
  <c r="W127" i="1"/>
  <c r="Y127" i="1"/>
  <c r="W128" i="1"/>
  <c r="Y128" i="1"/>
  <c r="W129" i="1"/>
  <c r="Y129" i="1"/>
  <c r="W130" i="1"/>
  <c r="Y130" i="1"/>
  <c r="W131" i="1"/>
  <c r="Y131" i="1"/>
  <c r="W132" i="1"/>
  <c r="Y132" i="1"/>
  <c r="W133" i="1"/>
  <c r="Y133" i="1"/>
  <c r="W134" i="1"/>
  <c r="Y134" i="1"/>
  <c r="W135" i="1"/>
  <c r="Y135" i="1"/>
  <c r="W136" i="1"/>
  <c r="Y136" i="1"/>
  <c r="W137" i="1"/>
  <c r="Y137" i="1"/>
  <c r="W138" i="1"/>
  <c r="Y138" i="1"/>
  <c r="W139" i="1"/>
  <c r="Y139" i="1"/>
  <c r="W140" i="1"/>
  <c r="Y140" i="1"/>
  <c r="W141" i="1"/>
  <c r="Y141" i="1"/>
  <c r="W142" i="1"/>
  <c r="Y142" i="1"/>
  <c r="W143" i="1"/>
  <c r="Y143" i="1"/>
  <c r="W144" i="1"/>
  <c r="Y144" i="1"/>
  <c r="W145" i="1"/>
  <c r="Y145" i="1"/>
  <c r="W146" i="1"/>
  <c r="Y146" i="1"/>
  <c r="W147" i="1"/>
  <c r="Y147" i="1"/>
  <c r="W148" i="1"/>
  <c r="Y148" i="1"/>
  <c r="W149" i="1"/>
  <c r="Y149" i="1"/>
  <c r="W150" i="1"/>
  <c r="Y150" i="1"/>
  <c r="W151" i="1"/>
  <c r="Y151" i="1"/>
  <c r="G152" i="1"/>
  <c r="H152" i="1"/>
  <c r="I152" i="1"/>
  <c r="J152" i="1"/>
  <c r="M152" i="1"/>
  <c r="O152" i="1"/>
  <c r="P152" i="1"/>
  <c r="Q152" i="1" l="1"/>
  <c r="R152" i="1"/>
  <c r="AA15" i="1"/>
  <c r="AA114" i="1"/>
  <c r="AA115" i="1"/>
  <c r="AA116" i="1"/>
  <c r="AA132" i="1"/>
  <c r="AA133" i="1"/>
  <c r="AA136" i="1"/>
  <c r="AA137" i="1"/>
  <c r="AA138" i="1"/>
  <c r="AA139" i="1"/>
  <c r="AA140" i="1"/>
  <c r="AA141" i="1"/>
  <c r="AA143" i="1"/>
  <c r="AA144" i="1"/>
  <c r="AA145" i="1"/>
  <c r="AA146" i="1"/>
  <c r="AA147" i="1"/>
  <c r="AA148" i="1"/>
  <c r="AA149" i="1"/>
  <c r="AA151" i="1"/>
  <c r="N152" i="1"/>
  <c r="K152" i="1"/>
  <c r="X10" i="1"/>
  <c r="L152" i="1"/>
  <c r="W152" i="1"/>
  <c r="AA38" i="1"/>
  <c r="Y152" i="1"/>
  <c r="AA134" i="1"/>
  <c r="AA135" i="1"/>
  <c r="AA142" i="1"/>
  <c r="AA150" i="1"/>
  <c r="AA14" i="1"/>
  <c r="Z130" i="1" l="1"/>
  <c r="AA130" i="1" s="1"/>
  <c r="Z120" i="1"/>
  <c r="AA120" i="1" s="1"/>
  <c r="Z111" i="1"/>
  <c r="AA111" i="1" s="1"/>
  <c r="Z101" i="1"/>
  <c r="AA101" i="1" s="1"/>
  <c r="Z95" i="1"/>
  <c r="AA95" i="1" s="1"/>
  <c r="Z119" i="1"/>
  <c r="AA119" i="1" s="1"/>
  <c r="Z85" i="1"/>
  <c r="AA85" i="1" s="1"/>
  <c r="Z58" i="1"/>
  <c r="AA58" i="1" s="1"/>
  <c r="Z113" i="1"/>
  <c r="AA113" i="1" s="1"/>
  <c r="Z88" i="1"/>
  <c r="AA88" i="1" s="1"/>
  <c r="Z47" i="1"/>
  <c r="AA47" i="1" s="1"/>
  <c r="Z123" i="1"/>
  <c r="AA123" i="1" s="1"/>
  <c r="Z106" i="1"/>
  <c r="AA106" i="1" s="1"/>
  <c r="Z61" i="1"/>
  <c r="AA61" i="1" s="1"/>
  <c r="Z93" i="1"/>
  <c r="AA93" i="1" s="1"/>
  <c r="Z72" i="1"/>
  <c r="AA72" i="1" s="1"/>
  <c r="Z66" i="1"/>
  <c r="AA66" i="1" s="1"/>
  <c r="Z125" i="1"/>
  <c r="AA125" i="1" s="1"/>
  <c r="Z118" i="1"/>
  <c r="AA118" i="1" s="1"/>
  <c r="Z107" i="1"/>
  <c r="AA107" i="1" s="1"/>
  <c r="Z98" i="1"/>
  <c r="AA98" i="1" s="1"/>
  <c r="Z117" i="1"/>
  <c r="AA117" i="1" s="1"/>
  <c r="Z105" i="1"/>
  <c r="AA105" i="1" s="1"/>
  <c r="Z99" i="1"/>
  <c r="AA99" i="1" s="1"/>
  <c r="Z126" i="1"/>
  <c r="AA126" i="1" s="1"/>
  <c r="Z108" i="1"/>
  <c r="AA108" i="1" s="1"/>
  <c r="Z100" i="1"/>
  <c r="AA100" i="1" s="1"/>
  <c r="Z127" i="1"/>
  <c r="AA127" i="1" s="1"/>
  <c r="Z122" i="1"/>
  <c r="AA122" i="1" s="1"/>
  <c r="Z109" i="1"/>
  <c r="AA109" i="1" s="1"/>
  <c r="Z103" i="1"/>
  <c r="AA103" i="1" s="1"/>
  <c r="Z87" i="1"/>
  <c r="AA87" i="1" s="1"/>
  <c r="Z91" i="1"/>
  <c r="AA91" i="1" s="1"/>
  <c r="Z45" i="1"/>
  <c r="AA45" i="1" s="1"/>
  <c r="Z18" i="1"/>
  <c r="AA18" i="1" s="1"/>
  <c r="Z80" i="1"/>
  <c r="AA80" i="1" s="1"/>
  <c r="Z33" i="1"/>
  <c r="AA33" i="1" s="1"/>
  <c r="Z26" i="1"/>
  <c r="AA26" i="1" s="1"/>
  <c r="Z60" i="1"/>
  <c r="AA60" i="1" s="1"/>
  <c r="Z65" i="1"/>
  <c r="AA65" i="1" s="1"/>
  <c r="Z17" i="1"/>
  <c r="AA17" i="1" s="1"/>
  <c r="Z46" i="1"/>
  <c r="AA46" i="1" s="1"/>
  <c r="Z89" i="1"/>
  <c r="AA89" i="1" s="1"/>
  <c r="Z78" i="1"/>
  <c r="AA78" i="1" s="1"/>
  <c r="Z90" i="1"/>
  <c r="AA90" i="1" s="1"/>
  <c r="Z83" i="1"/>
  <c r="AA83" i="1" s="1"/>
  <c r="Z67" i="1"/>
  <c r="AA67" i="1" s="1"/>
  <c r="Z59" i="1"/>
  <c r="AA59" i="1" s="1"/>
  <c r="Z20" i="1"/>
  <c r="AA20" i="1" s="1"/>
  <c r="Z25" i="1"/>
  <c r="AA25" i="1" s="1"/>
  <c r="Z68" i="1"/>
  <c r="AA68" i="1" s="1"/>
  <c r="Z77" i="1"/>
  <c r="AA77" i="1" s="1"/>
  <c r="Z36" i="1"/>
  <c r="AA36" i="1" s="1"/>
  <c r="Z55" i="1"/>
  <c r="AA55" i="1" s="1"/>
  <c r="Z69" i="1"/>
  <c r="AA69" i="1" s="1"/>
  <c r="Z62" i="1"/>
  <c r="AA62" i="1" s="1"/>
  <c r="Z54" i="1"/>
  <c r="AA54" i="1" s="1"/>
  <c r="Z41" i="1"/>
  <c r="AA41" i="1" s="1"/>
  <c r="Z73" i="1"/>
  <c r="AA73" i="1" s="1"/>
  <c r="Z64" i="1"/>
  <c r="AA64" i="1" s="1"/>
  <c r="Z52" i="1"/>
  <c r="AA52" i="1" s="1"/>
  <c r="Z49" i="1"/>
  <c r="AA49" i="1" s="1"/>
  <c r="Z71" i="1"/>
  <c r="AA71" i="1" s="1"/>
  <c r="Z56" i="1"/>
  <c r="AA56" i="1" s="1"/>
  <c r="Z34" i="1"/>
  <c r="AA34" i="1" s="1"/>
  <c r="Z29" i="1"/>
  <c r="AA29" i="1" s="1"/>
  <c r="Z35" i="1"/>
  <c r="AA35" i="1" s="1"/>
  <c r="Z21" i="1"/>
  <c r="AA21" i="1" s="1"/>
  <c r="Z31" i="1"/>
  <c r="AA31" i="1" s="1"/>
  <c r="Z39" i="1"/>
  <c r="AA39" i="1" s="1"/>
  <c r="Z13" i="1"/>
  <c r="AA13" i="1" s="1"/>
  <c r="Z23" i="1"/>
  <c r="AA23" i="1" s="1"/>
  <c r="Z44" i="1"/>
  <c r="AA44" i="1" s="1"/>
  <c r="Z16" i="1"/>
  <c r="AA16" i="1" s="1"/>
  <c r="Z27" i="1"/>
  <c r="AA27" i="1" s="1"/>
  <c r="Z30" i="1"/>
  <c r="AA30" i="1" s="1"/>
  <c r="Z128" i="1"/>
  <c r="AA128" i="1" s="1"/>
  <c r="Z79" i="1"/>
  <c r="AA79" i="1" s="1"/>
  <c r="Z131" i="1"/>
  <c r="AA131" i="1" s="1"/>
  <c r="Z110" i="1"/>
  <c r="AA110" i="1" s="1"/>
  <c r="Z104" i="1"/>
  <c r="AA104" i="1" s="1"/>
  <c r="Z94" i="1"/>
  <c r="AA94" i="1" s="1"/>
  <c r="Z75" i="1"/>
  <c r="AA75" i="1" s="1"/>
  <c r="Z63" i="1"/>
  <c r="AA63" i="1" s="1"/>
  <c r="Z51" i="1"/>
  <c r="AA51" i="1" s="1"/>
  <c r="Z37" i="1"/>
  <c r="AA37" i="1" s="1"/>
  <c r="Z12" i="1"/>
  <c r="AA12" i="1" s="1"/>
  <c r="Z22" i="1"/>
  <c r="AA22" i="1" s="1"/>
  <c r="Z124" i="1"/>
  <c r="AA124" i="1" s="1"/>
  <c r="Z84" i="1"/>
  <c r="AA84" i="1" s="1"/>
  <c r="Z70" i="1"/>
  <c r="AA70" i="1" s="1"/>
  <c r="Z48" i="1"/>
  <c r="AA48" i="1" s="1"/>
  <c r="Z28" i="1"/>
  <c r="AA28" i="1" s="1"/>
  <c r="Z129" i="1"/>
  <c r="AA129" i="1" s="1"/>
  <c r="Z121" i="1"/>
  <c r="AA121" i="1" s="1"/>
  <c r="Z112" i="1"/>
  <c r="AA112" i="1" s="1"/>
  <c r="Z102" i="1"/>
  <c r="AA102" i="1" s="1"/>
  <c r="Z92" i="1"/>
  <c r="AA92" i="1" s="1"/>
  <c r="Z86" i="1"/>
  <c r="AA86" i="1" s="1"/>
  <c r="Z76" i="1"/>
  <c r="AA76" i="1" s="1"/>
  <c r="Z74" i="1"/>
  <c r="AA74" i="1" s="1"/>
  <c r="Z57" i="1"/>
  <c r="AA57" i="1" s="1"/>
  <c r="Z53" i="1"/>
  <c r="AA53" i="1" s="1"/>
  <c r="Z50" i="1"/>
  <c r="AA50" i="1" s="1"/>
  <c r="Z40" i="1"/>
  <c r="AA40" i="1" s="1"/>
  <c r="Z19" i="1"/>
  <c r="AA19" i="1" s="1"/>
  <c r="Z32" i="1"/>
  <c r="AA32" i="1" s="1"/>
  <c r="Z97" i="1" l="1"/>
  <c r="AA97" i="1" s="1"/>
  <c r="Z96" i="1"/>
  <c r="AA96" i="1" s="1"/>
  <c r="Z42" i="1"/>
  <c r="AA42" i="1" s="1"/>
  <c r="Z43" i="1"/>
  <c r="AA43" i="1" s="1"/>
  <c r="AA81" i="1"/>
  <c r="Z82" i="1"/>
  <c r="AA82" i="1" s="1"/>
  <c r="Z11" i="1"/>
  <c r="X23" i="1"/>
  <c r="X28" i="1"/>
  <c r="X27" i="1"/>
  <c r="X26" i="1"/>
  <c r="X25" i="1"/>
  <c r="X29" i="1"/>
  <c r="X31" i="1"/>
  <c r="X32" i="1"/>
  <c r="X30" i="1"/>
  <c r="X22" i="1"/>
  <c r="X16" i="1"/>
  <c r="X17" i="1"/>
  <c r="X20" i="1"/>
  <c r="X18" i="1"/>
  <c r="X21" i="1"/>
  <c r="X19" i="1"/>
  <c r="X13" i="1"/>
  <c r="X12" i="1"/>
  <c r="X33" i="1"/>
  <c r="X36" i="1"/>
  <c r="X34" i="1"/>
  <c r="X35" i="1"/>
  <c r="X40" i="1"/>
  <c r="X39" i="1"/>
  <c r="X37" i="1"/>
  <c r="X44" i="1"/>
  <c r="X45" i="1"/>
  <c r="X41" i="1"/>
  <c r="X50" i="1"/>
  <c r="X49" i="1"/>
  <c r="X48" i="1"/>
  <c r="X47" i="1"/>
  <c r="X46" i="1"/>
  <c r="X56" i="1"/>
  <c r="X55" i="1"/>
  <c r="X54" i="1"/>
  <c r="X53" i="1"/>
  <c r="X52" i="1"/>
  <c r="X51" i="1"/>
  <c r="X61" i="1"/>
  <c r="X60" i="1"/>
  <c r="X59" i="1"/>
  <c r="X58" i="1"/>
  <c r="X62" i="1"/>
  <c r="X57" i="1"/>
  <c r="X64" i="1"/>
  <c r="X63" i="1"/>
  <c r="X66" i="1"/>
  <c r="X65" i="1"/>
  <c r="X67" i="1"/>
  <c r="X68" i="1"/>
  <c r="X69" i="1"/>
  <c r="X74" i="1"/>
  <c r="X73" i="1"/>
  <c r="X70" i="1"/>
  <c r="X72" i="1"/>
  <c r="X71" i="1"/>
  <c r="X82" i="1"/>
  <c r="X77" i="1"/>
  <c r="X76" i="1"/>
  <c r="X78" i="1"/>
  <c r="X75" i="1"/>
  <c r="X79" i="1"/>
  <c r="X80" i="1"/>
  <c r="X89" i="1"/>
  <c r="X85" i="1"/>
  <c r="X87" i="1"/>
  <c r="X83" i="1"/>
  <c r="X84" i="1"/>
  <c r="X88" i="1"/>
  <c r="X91" i="1"/>
  <c r="X90" i="1"/>
  <c r="X92" i="1"/>
  <c r="X95" i="1"/>
  <c r="X94" i="1"/>
  <c r="X93" i="1"/>
  <c r="X98" i="1"/>
  <c r="X99" i="1"/>
  <c r="X100" i="1"/>
  <c r="X103" i="1"/>
  <c r="X102" i="1"/>
  <c r="X101" i="1"/>
  <c r="X104" i="1"/>
  <c r="X106" i="1"/>
  <c r="X107" i="1"/>
  <c r="X105" i="1"/>
  <c r="X108" i="1"/>
  <c r="X109" i="1"/>
  <c r="X112" i="1"/>
  <c r="X111" i="1"/>
  <c r="X110" i="1"/>
  <c r="X113" i="1"/>
  <c r="X118" i="1"/>
  <c r="X117" i="1"/>
  <c r="X119" i="1"/>
  <c r="X122" i="1"/>
  <c r="X121" i="1"/>
  <c r="X120" i="1"/>
  <c r="X124" i="1"/>
  <c r="X123" i="1"/>
  <c r="X125" i="1"/>
  <c r="X128" i="1"/>
  <c r="X126" i="1"/>
  <c r="X127" i="1"/>
  <c r="X129" i="1"/>
  <c r="X130" i="1"/>
  <c r="AA11" i="1" l="1"/>
  <c r="T152" i="1"/>
  <c r="X11" i="1"/>
  <c r="X43" i="1"/>
  <c r="X42" i="1"/>
  <c r="X86" i="1"/>
  <c r="X97" i="1"/>
  <c r="X96" i="1"/>
  <c r="X131" i="1"/>
  <c r="S152" i="1" l="1"/>
  <c r="X24" i="1"/>
  <c r="X152" i="1" s="1"/>
  <c r="V152" i="1" l="1"/>
  <c r="Z24" i="1"/>
  <c r="Z152" i="1" l="1"/>
  <c r="AA24" i="1"/>
</calcChain>
</file>

<file path=xl/sharedStrings.xml><?xml version="1.0" encoding="utf-8"?>
<sst xmlns="http://schemas.openxmlformats.org/spreadsheetml/2006/main" count="786" uniqueCount="132">
  <si>
    <t>-</t>
  </si>
  <si>
    <t>TOTAL</t>
  </si>
  <si>
    <t>EaD</t>
  </si>
  <si>
    <t>Educação Inclusiva (Licenciatura)</t>
  </si>
  <si>
    <t>POLO LAURO DE FREITAS</t>
  </si>
  <si>
    <t>Música (Licenciatura)</t>
  </si>
  <si>
    <t>POLO XIQUE - XIQUE</t>
  </si>
  <si>
    <t>POLO VALENÇA</t>
  </si>
  <si>
    <t>Administração (Bacharelado)</t>
  </si>
  <si>
    <t>POLO TEIXEIRA DE FREITAS</t>
  </si>
  <si>
    <t>Administração Pública (Bacharelado)</t>
  </si>
  <si>
    <t>POLO SENHOR DO BONFIM</t>
  </si>
  <si>
    <t>POLO JUAZEIRO</t>
  </si>
  <si>
    <t>POLO JACOBINA</t>
  </si>
  <si>
    <t>POLO IRECÊ</t>
  </si>
  <si>
    <t>POLO IPIAÚ</t>
  </si>
  <si>
    <t>POLO CONCEIÇÃO DO COITÉ</t>
  </si>
  <si>
    <t>POLO CAMAÇARI</t>
  </si>
  <si>
    <t>POLO CAETITÉ</t>
  </si>
  <si>
    <t>POLO BRUMADO</t>
  </si>
  <si>
    <t>POLO BOM JESUS DA LAPA</t>
  </si>
  <si>
    <t>Matutino</t>
  </si>
  <si>
    <t>Pedagogia (Licenciatura)</t>
  </si>
  <si>
    <t>DMCE XXV - LAURO DE FREITAS</t>
  </si>
  <si>
    <t>Diurno</t>
  </si>
  <si>
    <t>Engenharia Sanitária e Ambiental (Bacharelado)</t>
  </si>
  <si>
    <t>DCHT XXIV - XIQUE - XIQUE</t>
  </si>
  <si>
    <t>Engenharia de Pesca (Bacharelado)</t>
  </si>
  <si>
    <t>Noturno</t>
  </si>
  <si>
    <t>DCHT XXIII - SEABRA</t>
  </si>
  <si>
    <t>Vespertino</t>
  </si>
  <si>
    <t>Letras, Língua Inglesa e Literaturas (Licenciatura)</t>
  </si>
  <si>
    <t>Letras, Língua Portuguesa e Literaturas (Licenciatura)</t>
  </si>
  <si>
    <t>Jornalismo em Multimeios (Bacharelado)</t>
  </si>
  <si>
    <t>DCHT XXII - EUCLIDES DA CUNHA</t>
  </si>
  <si>
    <t>Engenharia Agronômica (Bacharelado)</t>
  </si>
  <si>
    <t>Letras - Língua Portuguesa e Literaturas (Licenciatura)</t>
  </si>
  <si>
    <t>DCHT XXI - IPIAÚ</t>
  </si>
  <si>
    <t>Engenharia Agroindustrial (Bacharelado)</t>
  </si>
  <si>
    <t>DCHT XX - BRUMADO</t>
  </si>
  <si>
    <t>Direito (Bacharelado)</t>
  </si>
  <si>
    <t>DCHT XIX - CAMAÇARI</t>
  </si>
  <si>
    <t>Ciências Contábeis (Bacharelado)</t>
  </si>
  <si>
    <t>Turismo (Bacharelado)</t>
  </si>
  <si>
    <t>DCHT XVIII - EUNÁPOLIS</t>
  </si>
  <si>
    <t>História (Licenciatura)</t>
  </si>
  <si>
    <t>DCHT XVII - BOM JESUS DA LAPA</t>
  </si>
  <si>
    <t>DCHT XVI - IRECÊ</t>
  </si>
  <si>
    <t>DEDC XV - VALENÇA</t>
  </si>
  <si>
    <t>DEDC XIV - CONCEIÇÃO DO COITÉ</t>
  </si>
  <si>
    <t>Comunicação Social - Rádio e TV (Bacharelado)</t>
  </si>
  <si>
    <t>DEDC XIII - ITABERABA</t>
  </si>
  <si>
    <t>DEDC XII - GUANAMBI</t>
  </si>
  <si>
    <t>Enfermagem (Bacharelado)</t>
  </si>
  <si>
    <t>Educação Física (Licenciatura e Bacharelado)</t>
  </si>
  <si>
    <t>DEDC XI - SERRINHA</t>
  </si>
  <si>
    <t>Geografia (Licenciatura)</t>
  </si>
  <si>
    <t>DEDC X - TEIXEIRA DE FREITAS</t>
  </si>
  <si>
    <t>Matemática (Licenciatura)</t>
  </si>
  <si>
    <t>Ciências Biológicas (Licenciatura)</t>
  </si>
  <si>
    <t>DCH IX - BARREIRAS</t>
  </si>
  <si>
    <t>Medicina Veterinária (Bacharelado)</t>
  </si>
  <si>
    <t>DEDC VIII - PAULO AFONSO</t>
  </si>
  <si>
    <t>Arqueologia (Bacharelado)</t>
  </si>
  <si>
    <t>Teatro (Licenciatura)</t>
  </si>
  <si>
    <t>DEDC VII - SENHOR DO BONFIM</t>
  </si>
  <si>
    <t>Ciências Biológicas (Bacharelado)</t>
  </si>
  <si>
    <t>DCH VI - CAETITÉ</t>
  </si>
  <si>
    <t>DCH V - SANTO ANTÔNIO DE JESUS</t>
  </si>
  <si>
    <t>Letras, Língua Espanhola e Literaturas (Licenciatura)</t>
  </si>
  <si>
    <t>DCH IV - JACOBINA</t>
  </si>
  <si>
    <t>Engenharia de Bioprocessos e Biotecnologia (Bacharelado)</t>
  </si>
  <si>
    <t>DTCS III - JUAZEIRO</t>
  </si>
  <si>
    <t>DCH III - JUAZEIRO</t>
  </si>
  <si>
    <t>DLLARTES II - ALAGOINHAS</t>
  </si>
  <si>
    <t>DEDC II - ALAGOINHAS</t>
  </si>
  <si>
    <t>DCET II - ALAGOINHAS</t>
  </si>
  <si>
    <t>Engenharia de Software (Bacharelado)</t>
  </si>
  <si>
    <t>DEDC I - SALVADOR</t>
  </si>
  <si>
    <t>Filosofia (Licenciatura)</t>
  </si>
  <si>
    <t>Turismo e Hotelaria (Bacharelado)</t>
  </si>
  <si>
    <t>DCH I - SALVADOR</t>
  </si>
  <si>
    <t>Urbanismo (Bacharelado)</t>
  </si>
  <si>
    <t>DCET I - SALVADOR</t>
  </si>
  <si>
    <t>Sistemas de Informação (Bacharelado)</t>
  </si>
  <si>
    <t>Química (Licenciatura)</t>
  </si>
  <si>
    <t>Jogos Digitais (Tecnólogo)</t>
  </si>
  <si>
    <t>Física (Licenciatura)</t>
  </si>
  <si>
    <t>Vespertino e Noturno</t>
  </si>
  <si>
    <t>Engenharia de Produção Civil (Bacharelado)</t>
  </si>
  <si>
    <t>Design (Bacharelado)</t>
  </si>
  <si>
    <t>Nutrição (Bacharelado)</t>
  </si>
  <si>
    <t>DCV I  - SALVADOR</t>
  </si>
  <si>
    <t>Medicina (Bacharelado)</t>
  </si>
  <si>
    <t>Fonoaudiologia (Bacharelado)</t>
  </si>
  <si>
    <t>Fisioterapia (Bacharelado)</t>
  </si>
  <si>
    <t>Farmácia (Bacharelado)</t>
  </si>
  <si>
    <t>VEST + SISU - Ocupação das vagas</t>
  </si>
  <si>
    <t>VEST + SISU - Matriculados (vagas + sobrevagas) *</t>
  </si>
  <si>
    <t>VEST + SISU - Vagas remanescentes*</t>
  </si>
  <si>
    <t>VEST + SISU - Vagas iniciais</t>
  </si>
  <si>
    <t>SISU - Matriculados (vagas + sobrevagas)</t>
  </si>
  <si>
    <t>SISU - Classificados sobrevagas</t>
  </si>
  <si>
    <t>SISU - Classificados vagas</t>
  </si>
  <si>
    <t>SISU Sobrevagas iniciais</t>
  </si>
  <si>
    <t>SISU - Vagas iniciais</t>
  </si>
  <si>
    <t>VESTIBULAR - Matriculados (vagas + sobrevagas)</t>
  </si>
  <si>
    <t>VESTIBULAR -  Classificados sobrevagas</t>
  </si>
  <si>
    <t>VESTIBULAR -  Classificados vagas</t>
  </si>
  <si>
    <t>VESTIBULAR Sobrevagas iniciais</t>
  </si>
  <si>
    <t>VESTIBULAR Vagas iniciais</t>
  </si>
  <si>
    <t>Turno</t>
  </si>
  <si>
    <t>Curso</t>
  </si>
  <si>
    <t>Cod. e-Mec</t>
  </si>
  <si>
    <t>Cod. Vest.</t>
  </si>
  <si>
    <t>Campus / Departamento</t>
  </si>
  <si>
    <t>Nº</t>
  </si>
  <si>
    <t>CURSOS COM INGRESSO NO PRIMEIRO SEMESTRE</t>
  </si>
  <si>
    <t>VESTIBULAR + SISU</t>
  </si>
  <si>
    <t>QUADROS GERAIS</t>
  </si>
  <si>
    <t>Gerência de Seleção Discente - GESEDI</t>
  </si>
  <si>
    <t xml:space="preserve">PRÓ-REITORIA DE ENSINO DE GRADUAÇÃO </t>
  </si>
  <si>
    <r>
      <t xml:space="preserve">UNIVERSIDADE DO ESTADO DA BAHIA
</t>
    </r>
    <r>
      <rPr>
        <sz val="6"/>
        <color indexed="62"/>
        <rFont val="Trebuchet MS"/>
        <family val="2"/>
      </rPr>
      <t>Autorização Decreto nº 9237/86. DOU 18/07/96. Reconhecimento: Portaria 909/95, DOU 01/08-95</t>
    </r>
  </si>
  <si>
    <t>CURSOS EAD</t>
  </si>
  <si>
    <t xml:space="preserve">CURSOS PRESENCIAL </t>
  </si>
  <si>
    <t>VESTIBULAR - Vagas remanescentes</t>
  </si>
  <si>
    <t>VESTIBULAR - Sobrevagas remanescentes</t>
  </si>
  <si>
    <t>VESTIBULAR - Convocados (vagas + sobrevagas)</t>
  </si>
  <si>
    <t>SISU - Vagas remanescentes</t>
  </si>
  <si>
    <t>SISU - Sobrevagas remanescentes</t>
  </si>
  <si>
    <t>SISU - Convocados (vagas + sobrevagas)</t>
  </si>
  <si>
    <t>VEST + SISU - Convocados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</si>
</sst>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color theme="3" tint="-0.249977111117893"/>
      <name val="Arial"/>
      <family val="2"/>
    </font>
    <font>
      <b/>
      <sz val="10"/>
      <color theme="3" tint="-0.249977111117893"/>
      <name val="Arial"/>
      <family val="2"/>
    </font>
    <font>
      <sz val="11"/>
      <color rgb="FF17365D"/>
      <name val="Trebuchet MS"/>
      <family val="2"/>
    </font>
    <font>
      <sz val="6"/>
      <color indexed="62"/>
      <name val="Trebuchet MS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/>
    <xf numFmtId="0" fontId="2" fillId="2" borderId="0" xfId="0" applyFont="1" applyFill="1" applyAlignment="1">
      <alignment vertical="center"/>
    </xf>
    <xf numFmtId="1" fontId="2" fillId="3" borderId="1" xfId="0" applyNumberFormat="1" applyFont="1" applyFill="1" applyBorder="1" applyAlignment="1">
      <alignment horizontal="center" vertical="center"/>
    </xf>
    <xf numFmtId="9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2" fillId="0" borderId="0" xfId="0" applyFont="1"/>
    <xf numFmtId="9" fontId="1" fillId="0" borderId="6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7" borderId="7" xfId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/>
    </xf>
    <xf numFmtId="0" fontId="1" fillId="7" borderId="7" xfId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9" borderId="7" xfId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10" borderId="5" xfId="0" applyFont="1" applyFill="1" applyBorder="1" applyAlignment="1">
      <alignment vertical="center" wrapText="1"/>
    </xf>
  </cellXfs>
  <cellStyles count="2">
    <cellStyle name="Normal" xfId="0" builtinId="0"/>
    <cellStyle name="Normal 2" xfId="1" xr:uid="{333C5FD9-E4D8-4332-B2A4-EB04690766E2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7BDA3-5A22-4263-87EA-67B4ABE99F38}">
  <dimension ref="A1:BR152"/>
  <sheetViews>
    <sheetView tabSelected="1" view="pageBreakPreview" zoomScaleNormal="100" zoomScaleSheetLayoutView="100" workbookViewId="0">
      <selection activeCell="U11" sqref="U11"/>
    </sheetView>
  </sheetViews>
  <sheetFormatPr defaultRowHeight="13.2" x14ac:dyDescent="0.25"/>
  <cols>
    <col min="1" max="1" width="5.77734375" customWidth="1"/>
    <col min="2" max="2" width="22.21875" customWidth="1"/>
    <col min="3" max="4" width="12.5546875" customWidth="1"/>
    <col min="5" max="5" width="32.44140625" style="2" customWidth="1"/>
    <col min="6" max="6" width="10" style="1" bestFit="1" customWidth="1"/>
    <col min="7" max="7" width="13" style="1" customWidth="1"/>
    <col min="8" max="8" width="12.21875" style="1" customWidth="1"/>
    <col min="9" max="10" width="15.44140625" customWidth="1"/>
    <col min="11" max="12" width="15.33203125" customWidth="1"/>
    <col min="13" max="14" width="15.109375" customWidth="1"/>
    <col min="15" max="15" width="8.44140625" customWidth="1"/>
    <col min="16" max="16" width="10.77734375" customWidth="1"/>
    <col min="17" max="17" width="12.77734375" customWidth="1"/>
    <col min="18" max="18" width="13" customWidth="1"/>
    <col min="19" max="19" width="13.88671875" customWidth="1"/>
    <col min="20" max="22" width="14.109375" customWidth="1"/>
    <col min="23" max="23" width="8.88671875" customWidth="1"/>
    <col min="24" max="24" width="13.109375" customWidth="1"/>
    <col min="25" max="25" width="10.88671875" customWidth="1"/>
    <col min="26" max="26" width="11.5546875" customWidth="1"/>
    <col min="27" max="27" width="10.44140625" customWidth="1"/>
  </cols>
  <sheetData>
    <row r="1" spans="1:27" s="1" customFormat="1" ht="14.4" x14ac:dyDescent="0.25">
      <c r="A1" s="39" t="s">
        <v>122</v>
      </c>
      <c r="B1" s="39"/>
      <c r="C1" s="39"/>
      <c r="D1" s="39"/>
      <c r="E1" s="39"/>
      <c r="F1" s="39"/>
      <c r="G1" s="39"/>
      <c r="H1" s="39"/>
    </row>
    <row r="2" spans="1:27" s="1" customFormat="1" x14ac:dyDescent="0.25">
      <c r="A2" s="40" t="s">
        <v>121</v>
      </c>
      <c r="B2" s="40"/>
      <c r="C2" s="40"/>
      <c r="D2" s="40"/>
      <c r="E2" s="40"/>
      <c r="F2" s="40"/>
      <c r="G2" s="40"/>
      <c r="H2" s="40"/>
    </row>
    <row r="3" spans="1:27" s="1" customFormat="1" x14ac:dyDescent="0.25">
      <c r="A3" s="41" t="s">
        <v>120</v>
      </c>
      <c r="B3" s="41"/>
      <c r="C3" s="41"/>
      <c r="D3" s="41"/>
      <c r="E3" s="41"/>
      <c r="F3" s="41"/>
      <c r="G3" s="41"/>
      <c r="H3" s="41"/>
    </row>
    <row r="4" spans="1:27" x14ac:dyDescent="0.25">
      <c r="E4" s="35"/>
      <c r="F4" s="35"/>
      <c r="G4" s="35"/>
      <c r="H4" s="31"/>
    </row>
    <row r="5" spans="1:27" x14ac:dyDescent="0.25">
      <c r="A5" s="35" t="s">
        <v>119</v>
      </c>
      <c r="B5" s="35"/>
      <c r="C5" s="35"/>
      <c r="D5" s="35"/>
      <c r="E5" s="35"/>
      <c r="F5" s="35"/>
      <c r="G5" s="35"/>
      <c r="H5" s="35"/>
      <c r="I5" s="31"/>
      <c r="J5" s="31"/>
      <c r="K5" s="31"/>
      <c r="L5" s="31"/>
      <c r="M5" s="31"/>
      <c r="N5" s="31"/>
    </row>
    <row r="6" spans="1:27" x14ac:dyDescent="0.25">
      <c r="A6" s="35" t="s">
        <v>118</v>
      </c>
      <c r="B6" s="35"/>
      <c r="C6" s="35"/>
      <c r="D6" s="35"/>
      <c r="E6" s="35"/>
      <c r="F6" s="35"/>
      <c r="G6" s="35"/>
      <c r="H6" s="35"/>
      <c r="I6" s="31"/>
      <c r="J6" s="31"/>
      <c r="K6" s="31"/>
      <c r="L6" s="31"/>
      <c r="M6" s="31"/>
      <c r="N6" s="31"/>
    </row>
    <row r="7" spans="1:27" x14ac:dyDescent="0.25">
      <c r="A7" s="35" t="s">
        <v>117</v>
      </c>
      <c r="B7" s="35"/>
      <c r="C7" s="35"/>
      <c r="D7" s="35"/>
      <c r="E7" s="35"/>
      <c r="F7" s="35"/>
      <c r="G7" s="35"/>
      <c r="H7" s="35"/>
      <c r="I7" s="31"/>
      <c r="J7" s="31"/>
      <c r="K7" s="31"/>
      <c r="L7" s="31"/>
      <c r="M7" s="31"/>
      <c r="N7" s="31"/>
    </row>
    <row r="8" spans="1:27" ht="13.8" thickBot="1" x14ac:dyDescent="0.3"/>
    <row r="9" spans="1:27" ht="107.4" customHeight="1" thickBot="1" x14ac:dyDescent="0.3">
      <c r="A9" s="30" t="s">
        <v>116</v>
      </c>
      <c r="B9" s="30" t="s">
        <v>115</v>
      </c>
      <c r="C9" s="28" t="s">
        <v>114</v>
      </c>
      <c r="D9" s="28" t="s">
        <v>113</v>
      </c>
      <c r="E9" s="28" t="s">
        <v>112</v>
      </c>
      <c r="F9" s="29" t="s">
        <v>111</v>
      </c>
      <c r="G9" s="28" t="s">
        <v>110</v>
      </c>
      <c r="H9" s="26" t="s">
        <v>109</v>
      </c>
      <c r="I9" s="27" t="s">
        <v>108</v>
      </c>
      <c r="J9" s="27" t="s">
        <v>107</v>
      </c>
      <c r="K9" s="25" t="s">
        <v>125</v>
      </c>
      <c r="L9" s="25" t="s">
        <v>126</v>
      </c>
      <c r="M9" s="24" t="s">
        <v>127</v>
      </c>
      <c r="N9" s="23" t="s">
        <v>106</v>
      </c>
      <c r="O9" s="26" t="s">
        <v>105</v>
      </c>
      <c r="P9" s="26" t="s">
        <v>104</v>
      </c>
      <c r="Q9" s="27" t="s">
        <v>103</v>
      </c>
      <c r="R9" s="27" t="s">
        <v>102</v>
      </c>
      <c r="S9" s="25" t="s">
        <v>128</v>
      </c>
      <c r="T9" s="25" t="s">
        <v>129</v>
      </c>
      <c r="U9" s="24" t="s">
        <v>130</v>
      </c>
      <c r="V9" s="23" t="s">
        <v>101</v>
      </c>
      <c r="W9" s="26" t="s">
        <v>100</v>
      </c>
      <c r="X9" s="25" t="s">
        <v>99</v>
      </c>
      <c r="Y9" s="24" t="s">
        <v>131</v>
      </c>
      <c r="Z9" s="23" t="s">
        <v>98</v>
      </c>
      <c r="AA9" s="28" t="s">
        <v>97</v>
      </c>
    </row>
    <row r="10" spans="1:27" s="1" customFormat="1" x14ac:dyDescent="0.25">
      <c r="A10" s="9"/>
      <c r="B10" s="21" t="s">
        <v>92</v>
      </c>
      <c r="C10" s="18">
        <v>161</v>
      </c>
      <c r="D10" s="18" t="s">
        <v>0</v>
      </c>
      <c r="E10" s="20" t="s">
        <v>53</v>
      </c>
      <c r="F10" s="19" t="s">
        <v>24</v>
      </c>
      <c r="G10" s="18">
        <v>30</v>
      </c>
      <c r="H10" s="18">
        <v>10</v>
      </c>
      <c r="I10" s="10">
        <v>641</v>
      </c>
      <c r="J10" s="10">
        <v>0</v>
      </c>
      <c r="K10" s="10">
        <v>4</v>
      </c>
      <c r="L10" s="10">
        <v>5</v>
      </c>
      <c r="M10" s="10">
        <v>13</v>
      </c>
      <c r="N10" s="10">
        <v>31</v>
      </c>
      <c r="O10" s="9" t="s">
        <v>0</v>
      </c>
      <c r="P10" s="9" t="s">
        <v>0</v>
      </c>
      <c r="Q10" s="9" t="s">
        <v>0</v>
      </c>
      <c r="R10" s="9" t="s">
        <v>0</v>
      </c>
      <c r="S10" s="8">
        <v>0</v>
      </c>
      <c r="T10" s="8">
        <v>0</v>
      </c>
      <c r="U10" s="8" t="s">
        <v>0</v>
      </c>
      <c r="V10" s="8">
        <v>0</v>
      </c>
      <c r="W10" s="17">
        <f>G10</f>
        <v>30</v>
      </c>
      <c r="X10" s="17">
        <f>K10</f>
        <v>4</v>
      </c>
      <c r="Y10" s="17">
        <f>M10</f>
        <v>13</v>
      </c>
      <c r="Z10" s="17">
        <f>N10</f>
        <v>31</v>
      </c>
      <c r="AA10" s="16">
        <f>Z10/W10</f>
        <v>1.0333333333333334</v>
      </c>
    </row>
    <row r="11" spans="1:27" s="1" customFormat="1" x14ac:dyDescent="0.25">
      <c r="A11" s="9"/>
      <c r="B11" s="14" t="s">
        <v>92</v>
      </c>
      <c r="C11" s="10">
        <v>163</v>
      </c>
      <c r="D11" s="10">
        <v>91531</v>
      </c>
      <c r="E11" s="12" t="s">
        <v>96</v>
      </c>
      <c r="F11" s="11" t="s">
        <v>24</v>
      </c>
      <c r="G11" s="10">
        <v>15</v>
      </c>
      <c r="H11" s="10">
        <v>5</v>
      </c>
      <c r="I11" s="10">
        <v>409</v>
      </c>
      <c r="J11" s="10">
        <v>0</v>
      </c>
      <c r="K11" s="10">
        <v>11</v>
      </c>
      <c r="L11" s="10">
        <v>5</v>
      </c>
      <c r="M11" s="10">
        <v>12</v>
      </c>
      <c r="N11" s="10">
        <v>4</v>
      </c>
      <c r="O11" s="8">
        <v>15</v>
      </c>
      <c r="P11" s="8">
        <v>5</v>
      </c>
      <c r="Q11" s="9">
        <v>15</v>
      </c>
      <c r="R11" s="9">
        <v>5</v>
      </c>
      <c r="S11" s="8">
        <v>5</v>
      </c>
      <c r="T11" s="8">
        <v>3</v>
      </c>
      <c r="U11" s="8">
        <v>9</v>
      </c>
      <c r="V11" s="8">
        <v>12</v>
      </c>
      <c r="W11" s="7">
        <f>G11+O11</f>
        <v>30</v>
      </c>
      <c r="X11" s="7">
        <f>K11+S11</f>
        <v>16</v>
      </c>
      <c r="Y11" s="7">
        <f t="shared" ref="Y11:Z13" si="0">M11+U11</f>
        <v>21</v>
      </c>
      <c r="Z11" s="7">
        <f t="shared" si="0"/>
        <v>16</v>
      </c>
      <c r="AA11" s="6">
        <f t="shared" ref="AA11:AA41" si="1">Z11/W11</f>
        <v>0.53333333333333333</v>
      </c>
    </row>
    <row r="12" spans="1:27" s="1" customFormat="1" x14ac:dyDescent="0.25">
      <c r="A12" s="9"/>
      <c r="B12" s="14" t="s">
        <v>92</v>
      </c>
      <c r="C12" s="10">
        <v>165</v>
      </c>
      <c r="D12" s="10">
        <v>91533</v>
      </c>
      <c r="E12" s="12" t="s">
        <v>95</v>
      </c>
      <c r="F12" s="11" t="s">
        <v>24</v>
      </c>
      <c r="G12" s="10">
        <v>15</v>
      </c>
      <c r="H12" s="10">
        <v>5</v>
      </c>
      <c r="I12" s="10">
        <v>574</v>
      </c>
      <c r="J12" s="10">
        <v>0</v>
      </c>
      <c r="K12" s="10">
        <v>4</v>
      </c>
      <c r="L12" s="10">
        <v>3</v>
      </c>
      <c r="M12" s="10">
        <v>12</v>
      </c>
      <c r="N12" s="10">
        <v>13</v>
      </c>
      <c r="O12" s="8">
        <v>15</v>
      </c>
      <c r="P12" s="8">
        <v>5</v>
      </c>
      <c r="Q12" s="9">
        <v>15</v>
      </c>
      <c r="R12" s="9">
        <v>5</v>
      </c>
      <c r="S12" s="8">
        <v>7</v>
      </c>
      <c r="T12" s="8">
        <v>4</v>
      </c>
      <c r="U12" s="8">
        <v>14</v>
      </c>
      <c r="V12" s="8">
        <v>9</v>
      </c>
      <c r="W12" s="7">
        <f>G12+O12</f>
        <v>30</v>
      </c>
      <c r="X12" s="7">
        <f>K12+S12</f>
        <v>11</v>
      </c>
      <c r="Y12" s="7">
        <f t="shared" si="0"/>
        <v>26</v>
      </c>
      <c r="Z12" s="7">
        <f t="shared" si="0"/>
        <v>22</v>
      </c>
      <c r="AA12" s="6">
        <f t="shared" si="1"/>
        <v>0.73333333333333328</v>
      </c>
    </row>
    <row r="13" spans="1:27" s="1" customFormat="1" x14ac:dyDescent="0.25">
      <c r="A13" s="9"/>
      <c r="B13" s="14" t="s">
        <v>92</v>
      </c>
      <c r="C13" s="10">
        <v>167</v>
      </c>
      <c r="D13" s="10">
        <v>20783</v>
      </c>
      <c r="E13" s="12" t="s">
        <v>94</v>
      </c>
      <c r="F13" s="11" t="s">
        <v>24</v>
      </c>
      <c r="G13" s="10">
        <v>15</v>
      </c>
      <c r="H13" s="10">
        <v>5</v>
      </c>
      <c r="I13" s="10">
        <v>285</v>
      </c>
      <c r="J13" s="10">
        <v>0</v>
      </c>
      <c r="K13" s="10">
        <v>3</v>
      </c>
      <c r="L13" s="10">
        <v>4</v>
      </c>
      <c r="M13" s="10">
        <v>10</v>
      </c>
      <c r="N13" s="10">
        <v>13</v>
      </c>
      <c r="O13" s="8">
        <v>15</v>
      </c>
      <c r="P13" s="8">
        <v>5</v>
      </c>
      <c r="Q13" s="9">
        <v>15</v>
      </c>
      <c r="R13" s="9">
        <v>5</v>
      </c>
      <c r="S13" s="8">
        <v>5</v>
      </c>
      <c r="T13" s="8">
        <v>3</v>
      </c>
      <c r="U13" s="8">
        <v>11</v>
      </c>
      <c r="V13" s="8">
        <v>12</v>
      </c>
      <c r="W13" s="7">
        <f>G13+O13</f>
        <v>30</v>
      </c>
      <c r="X13" s="7">
        <f>K13+S13</f>
        <v>8</v>
      </c>
      <c r="Y13" s="7">
        <f t="shared" si="0"/>
        <v>21</v>
      </c>
      <c r="Z13" s="7">
        <f t="shared" si="0"/>
        <v>25</v>
      </c>
      <c r="AA13" s="6">
        <f t="shared" si="1"/>
        <v>0.83333333333333337</v>
      </c>
    </row>
    <row r="14" spans="1:27" s="1" customFormat="1" x14ac:dyDescent="0.25">
      <c r="A14" s="9"/>
      <c r="B14" s="14" t="s">
        <v>92</v>
      </c>
      <c r="C14" s="10">
        <v>169</v>
      </c>
      <c r="D14" s="10" t="s">
        <v>0</v>
      </c>
      <c r="E14" s="12" t="s">
        <v>93</v>
      </c>
      <c r="F14" s="11" t="s">
        <v>24</v>
      </c>
      <c r="G14" s="10">
        <v>30</v>
      </c>
      <c r="H14" s="10">
        <v>10</v>
      </c>
      <c r="I14" s="10">
        <v>5859</v>
      </c>
      <c r="J14" s="10">
        <v>63</v>
      </c>
      <c r="K14" s="10">
        <v>7</v>
      </c>
      <c r="L14" s="10">
        <v>1</v>
      </c>
      <c r="M14" s="10">
        <v>17</v>
      </c>
      <c r="N14" s="10">
        <v>32</v>
      </c>
      <c r="O14" s="8" t="s">
        <v>0</v>
      </c>
      <c r="P14" s="9" t="s">
        <v>0</v>
      </c>
      <c r="Q14" s="9" t="s">
        <v>0</v>
      </c>
      <c r="R14" s="9" t="s">
        <v>0</v>
      </c>
      <c r="S14" s="8">
        <v>0</v>
      </c>
      <c r="T14" s="8">
        <v>0</v>
      </c>
      <c r="U14" s="8" t="s">
        <v>0</v>
      </c>
      <c r="V14" s="8">
        <v>0</v>
      </c>
      <c r="W14" s="7">
        <f>G14</f>
        <v>30</v>
      </c>
      <c r="X14" s="7">
        <f>K14</f>
        <v>7</v>
      </c>
      <c r="Y14" s="7">
        <f>M14</f>
        <v>17</v>
      </c>
      <c r="Z14" s="7">
        <f>N14</f>
        <v>32</v>
      </c>
      <c r="AA14" s="6">
        <f t="shared" si="1"/>
        <v>1.0666666666666667</v>
      </c>
    </row>
    <row r="15" spans="1:27" s="1" customFormat="1" x14ac:dyDescent="0.25">
      <c r="A15" s="9"/>
      <c r="B15" s="14" t="s">
        <v>92</v>
      </c>
      <c r="C15" s="10">
        <v>171</v>
      </c>
      <c r="D15" s="10" t="s">
        <v>0</v>
      </c>
      <c r="E15" s="12" t="s">
        <v>91</v>
      </c>
      <c r="F15" s="11" t="s">
        <v>24</v>
      </c>
      <c r="G15" s="10">
        <v>30</v>
      </c>
      <c r="H15" s="10">
        <v>10</v>
      </c>
      <c r="I15" s="10">
        <v>456</v>
      </c>
      <c r="J15" s="10">
        <v>0</v>
      </c>
      <c r="K15" s="10">
        <v>8</v>
      </c>
      <c r="L15" s="10">
        <v>10</v>
      </c>
      <c r="M15" s="10">
        <v>11</v>
      </c>
      <c r="N15" s="10">
        <v>22</v>
      </c>
      <c r="O15" s="8" t="s">
        <v>0</v>
      </c>
      <c r="P15" s="9" t="s">
        <v>0</v>
      </c>
      <c r="Q15" s="9" t="s">
        <v>0</v>
      </c>
      <c r="R15" s="9" t="s">
        <v>0</v>
      </c>
      <c r="S15" s="8">
        <v>0</v>
      </c>
      <c r="T15" s="8">
        <v>0</v>
      </c>
      <c r="U15" s="8" t="s">
        <v>0</v>
      </c>
      <c r="V15" s="8">
        <v>0</v>
      </c>
      <c r="W15" s="7">
        <f>G15</f>
        <v>30</v>
      </c>
      <c r="X15" s="7">
        <f>K15</f>
        <v>8</v>
      </c>
      <c r="Y15" s="7">
        <f>M15</f>
        <v>11</v>
      </c>
      <c r="Z15" s="7">
        <f>N15</f>
        <v>22</v>
      </c>
      <c r="AA15" s="6">
        <f t="shared" si="1"/>
        <v>0.73333333333333328</v>
      </c>
    </row>
    <row r="16" spans="1:27" s="1" customFormat="1" x14ac:dyDescent="0.25">
      <c r="A16" s="9"/>
      <c r="B16" s="14" t="s">
        <v>83</v>
      </c>
      <c r="C16" s="10">
        <v>141</v>
      </c>
      <c r="D16" s="10">
        <v>2450</v>
      </c>
      <c r="E16" s="12" t="s">
        <v>90</v>
      </c>
      <c r="F16" s="11" t="s">
        <v>21</v>
      </c>
      <c r="G16" s="10">
        <v>30</v>
      </c>
      <c r="H16" s="10">
        <v>10</v>
      </c>
      <c r="I16" s="10">
        <v>281</v>
      </c>
      <c r="J16" s="10">
        <v>0</v>
      </c>
      <c r="K16" s="10">
        <v>14</v>
      </c>
      <c r="L16" s="10">
        <v>9</v>
      </c>
      <c r="M16" s="10">
        <v>20</v>
      </c>
      <c r="N16" s="10">
        <v>17</v>
      </c>
      <c r="O16" s="8">
        <v>10</v>
      </c>
      <c r="P16" s="8">
        <v>5</v>
      </c>
      <c r="Q16" s="9">
        <v>155</v>
      </c>
      <c r="R16" s="9">
        <v>14</v>
      </c>
      <c r="S16" s="8">
        <v>2</v>
      </c>
      <c r="T16" s="8">
        <v>5</v>
      </c>
      <c r="U16" s="8">
        <v>4</v>
      </c>
      <c r="V16" s="8">
        <v>8</v>
      </c>
      <c r="W16" s="7">
        <f t="shared" ref="W16:W37" si="2">G16+O16</f>
        <v>40</v>
      </c>
      <c r="X16" s="7">
        <f t="shared" ref="X16:X37" si="3">K16+S16</f>
        <v>16</v>
      </c>
      <c r="Y16" s="7">
        <f t="shared" ref="Y16:Y37" si="4">M16+U16</f>
        <v>24</v>
      </c>
      <c r="Z16" s="7">
        <f t="shared" ref="Z16:Z37" si="5">N16+V16</f>
        <v>25</v>
      </c>
      <c r="AA16" s="6">
        <f t="shared" si="1"/>
        <v>0.625</v>
      </c>
    </row>
    <row r="17" spans="1:27" s="1" customFormat="1" ht="26.4" x14ac:dyDescent="0.25">
      <c r="A17" s="9"/>
      <c r="B17" s="14" t="s">
        <v>83</v>
      </c>
      <c r="C17" s="10">
        <v>142</v>
      </c>
      <c r="D17" s="10">
        <v>19496</v>
      </c>
      <c r="E17" s="12" t="s">
        <v>89</v>
      </c>
      <c r="F17" s="11" t="s">
        <v>88</v>
      </c>
      <c r="G17" s="10">
        <v>35</v>
      </c>
      <c r="H17" s="10">
        <v>10</v>
      </c>
      <c r="I17" s="10">
        <v>295</v>
      </c>
      <c r="J17" s="10">
        <v>0</v>
      </c>
      <c r="K17" s="10">
        <v>27</v>
      </c>
      <c r="L17" s="10">
        <v>9</v>
      </c>
      <c r="M17" s="10">
        <v>27</v>
      </c>
      <c r="N17" s="10">
        <v>9</v>
      </c>
      <c r="O17" s="8">
        <v>15</v>
      </c>
      <c r="P17" s="8">
        <v>5</v>
      </c>
      <c r="Q17" s="9">
        <v>112</v>
      </c>
      <c r="R17" s="9">
        <v>7</v>
      </c>
      <c r="S17" s="8">
        <v>3</v>
      </c>
      <c r="T17" s="8">
        <v>5</v>
      </c>
      <c r="U17" s="8">
        <v>3</v>
      </c>
      <c r="V17" s="8">
        <v>12</v>
      </c>
      <c r="W17" s="7">
        <f t="shared" si="2"/>
        <v>50</v>
      </c>
      <c r="X17" s="7">
        <f t="shared" si="3"/>
        <v>30</v>
      </c>
      <c r="Y17" s="7">
        <f t="shared" si="4"/>
        <v>30</v>
      </c>
      <c r="Z17" s="7">
        <f t="shared" si="5"/>
        <v>21</v>
      </c>
      <c r="AA17" s="6">
        <f t="shared" si="1"/>
        <v>0.42</v>
      </c>
    </row>
    <row r="18" spans="1:27" s="1" customFormat="1" x14ac:dyDescent="0.25">
      <c r="A18" s="9"/>
      <c r="B18" s="14" t="s">
        <v>83</v>
      </c>
      <c r="C18" s="10">
        <v>143</v>
      </c>
      <c r="D18" s="10">
        <v>1376204</v>
      </c>
      <c r="E18" s="12" t="s">
        <v>87</v>
      </c>
      <c r="F18" s="11" t="s">
        <v>28</v>
      </c>
      <c r="G18" s="10">
        <v>25</v>
      </c>
      <c r="H18" s="10">
        <v>5</v>
      </c>
      <c r="I18" s="10">
        <v>14</v>
      </c>
      <c r="J18" s="10">
        <v>0</v>
      </c>
      <c r="K18" s="10">
        <v>17</v>
      </c>
      <c r="L18" s="10">
        <v>5</v>
      </c>
      <c r="M18" s="10">
        <v>17</v>
      </c>
      <c r="N18" s="10">
        <v>8</v>
      </c>
      <c r="O18" s="8">
        <v>15</v>
      </c>
      <c r="P18" s="8">
        <v>5</v>
      </c>
      <c r="Q18" s="9">
        <v>37</v>
      </c>
      <c r="R18" s="9">
        <v>1</v>
      </c>
      <c r="S18" s="8">
        <v>1</v>
      </c>
      <c r="T18" s="8">
        <v>5</v>
      </c>
      <c r="U18" s="8">
        <v>2</v>
      </c>
      <c r="V18" s="8">
        <v>14</v>
      </c>
      <c r="W18" s="7">
        <f t="shared" si="2"/>
        <v>40</v>
      </c>
      <c r="X18" s="7">
        <f t="shared" si="3"/>
        <v>18</v>
      </c>
      <c r="Y18" s="7">
        <f t="shared" si="4"/>
        <v>19</v>
      </c>
      <c r="Z18" s="7">
        <f t="shared" si="5"/>
        <v>22</v>
      </c>
      <c r="AA18" s="6">
        <f t="shared" si="1"/>
        <v>0.55000000000000004</v>
      </c>
    </row>
    <row r="19" spans="1:27" s="1" customFormat="1" x14ac:dyDescent="0.25">
      <c r="A19" s="9"/>
      <c r="B19" s="14" t="s">
        <v>83</v>
      </c>
      <c r="C19" s="10">
        <v>144</v>
      </c>
      <c r="D19" s="10">
        <v>1348511</v>
      </c>
      <c r="E19" s="12" t="s">
        <v>86</v>
      </c>
      <c r="F19" s="11" t="s">
        <v>30</v>
      </c>
      <c r="G19" s="10">
        <v>10</v>
      </c>
      <c r="H19" s="10">
        <v>5</v>
      </c>
      <c r="I19" s="10">
        <v>200</v>
      </c>
      <c r="J19" s="10">
        <v>0</v>
      </c>
      <c r="K19" s="10">
        <v>5</v>
      </c>
      <c r="L19" s="10">
        <v>5</v>
      </c>
      <c r="M19" s="10">
        <v>6</v>
      </c>
      <c r="N19" s="10">
        <v>5</v>
      </c>
      <c r="O19" s="8">
        <v>15</v>
      </c>
      <c r="P19" s="8">
        <v>5</v>
      </c>
      <c r="Q19" s="9">
        <v>97</v>
      </c>
      <c r="R19" s="9">
        <v>8</v>
      </c>
      <c r="S19" s="8">
        <v>11</v>
      </c>
      <c r="T19" s="8">
        <v>5</v>
      </c>
      <c r="U19" s="8">
        <v>14</v>
      </c>
      <c r="V19" s="8">
        <v>4</v>
      </c>
      <c r="W19" s="7">
        <f t="shared" si="2"/>
        <v>25</v>
      </c>
      <c r="X19" s="7">
        <f t="shared" si="3"/>
        <v>16</v>
      </c>
      <c r="Y19" s="7">
        <f t="shared" si="4"/>
        <v>20</v>
      </c>
      <c r="Z19" s="7">
        <f t="shared" si="5"/>
        <v>9</v>
      </c>
      <c r="AA19" s="6">
        <f t="shared" si="1"/>
        <v>0.36</v>
      </c>
    </row>
    <row r="20" spans="1:27" s="1" customFormat="1" x14ac:dyDescent="0.25">
      <c r="A20" s="9"/>
      <c r="B20" s="14" t="s">
        <v>83</v>
      </c>
      <c r="C20" s="10">
        <v>145</v>
      </c>
      <c r="D20" s="10">
        <v>83966</v>
      </c>
      <c r="E20" s="12" t="s">
        <v>85</v>
      </c>
      <c r="F20" s="11" t="s">
        <v>24</v>
      </c>
      <c r="G20" s="10">
        <v>40</v>
      </c>
      <c r="H20" s="10">
        <v>10</v>
      </c>
      <c r="I20" s="10">
        <v>59</v>
      </c>
      <c r="J20" s="10">
        <v>0</v>
      </c>
      <c r="K20" s="10">
        <v>20</v>
      </c>
      <c r="L20" s="10">
        <v>10</v>
      </c>
      <c r="M20" s="10">
        <v>24</v>
      </c>
      <c r="N20" s="10">
        <v>20</v>
      </c>
      <c r="O20" s="8">
        <v>10</v>
      </c>
      <c r="P20" s="8">
        <v>5</v>
      </c>
      <c r="Q20" s="9">
        <v>36</v>
      </c>
      <c r="R20" s="9">
        <v>2</v>
      </c>
      <c r="S20" s="8">
        <v>1</v>
      </c>
      <c r="T20" s="8">
        <v>5</v>
      </c>
      <c r="U20" s="8">
        <v>2</v>
      </c>
      <c r="V20" s="8">
        <v>9</v>
      </c>
      <c r="W20" s="7">
        <f t="shared" si="2"/>
        <v>50</v>
      </c>
      <c r="X20" s="7">
        <f t="shared" si="3"/>
        <v>21</v>
      </c>
      <c r="Y20" s="7">
        <f t="shared" si="4"/>
        <v>26</v>
      </c>
      <c r="Z20" s="7">
        <f t="shared" si="5"/>
        <v>29</v>
      </c>
      <c r="AA20" s="6">
        <f t="shared" si="1"/>
        <v>0.57999999999999996</v>
      </c>
    </row>
    <row r="21" spans="1:27" s="1" customFormat="1" ht="26.4" x14ac:dyDescent="0.25">
      <c r="A21" s="9"/>
      <c r="B21" s="14" t="s">
        <v>83</v>
      </c>
      <c r="C21" s="10">
        <v>146</v>
      </c>
      <c r="D21" s="10">
        <v>103062</v>
      </c>
      <c r="E21" s="12" t="s">
        <v>84</v>
      </c>
      <c r="F21" s="11" t="s">
        <v>21</v>
      </c>
      <c r="G21" s="10">
        <v>40</v>
      </c>
      <c r="H21" s="10">
        <v>10</v>
      </c>
      <c r="I21" s="10">
        <v>408</v>
      </c>
      <c r="J21" s="10">
        <v>0</v>
      </c>
      <c r="K21" s="10">
        <v>24</v>
      </c>
      <c r="L21" s="10">
        <v>10</v>
      </c>
      <c r="M21" s="10">
        <v>29</v>
      </c>
      <c r="N21" s="10">
        <v>16</v>
      </c>
      <c r="O21" s="8">
        <v>10</v>
      </c>
      <c r="P21" s="8">
        <v>5</v>
      </c>
      <c r="Q21" s="9">
        <v>140</v>
      </c>
      <c r="R21" s="9">
        <v>8</v>
      </c>
      <c r="S21" s="8">
        <v>0</v>
      </c>
      <c r="T21" s="8">
        <v>5</v>
      </c>
      <c r="U21" s="8">
        <v>1</v>
      </c>
      <c r="V21" s="8">
        <v>10</v>
      </c>
      <c r="W21" s="7">
        <f t="shared" si="2"/>
        <v>50</v>
      </c>
      <c r="X21" s="7">
        <f t="shared" si="3"/>
        <v>24</v>
      </c>
      <c r="Y21" s="7">
        <f t="shared" si="4"/>
        <v>30</v>
      </c>
      <c r="Z21" s="7">
        <f t="shared" si="5"/>
        <v>26</v>
      </c>
      <c r="AA21" s="6">
        <f t="shared" si="1"/>
        <v>0.52</v>
      </c>
    </row>
    <row r="22" spans="1:27" s="1" customFormat="1" x14ac:dyDescent="0.25">
      <c r="A22" s="9"/>
      <c r="B22" s="14" t="s">
        <v>83</v>
      </c>
      <c r="C22" s="10">
        <v>147</v>
      </c>
      <c r="D22" s="10">
        <v>2473</v>
      </c>
      <c r="E22" s="12" t="s">
        <v>82</v>
      </c>
      <c r="F22" s="11" t="s">
        <v>21</v>
      </c>
      <c r="G22" s="10">
        <v>40</v>
      </c>
      <c r="H22" s="10">
        <v>10</v>
      </c>
      <c r="I22" s="10">
        <v>68</v>
      </c>
      <c r="J22" s="10">
        <v>0</v>
      </c>
      <c r="K22" s="10">
        <v>23</v>
      </c>
      <c r="L22" s="10">
        <v>10</v>
      </c>
      <c r="M22" s="10">
        <v>25</v>
      </c>
      <c r="N22" s="10">
        <v>17</v>
      </c>
      <c r="O22" s="8">
        <v>10</v>
      </c>
      <c r="P22" s="8">
        <v>5</v>
      </c>
      <c r="Q22" s="9">
        <v>54</v>
      </c>
      <c r="R22" s="9">
        <v>8</v>
      </c>
      <c r="S22" s="8">
        <v>4</v>
      </c>
      <c r="T22" s="8">
        <v>5</v>
      </c>
      <c r="U22" s="8">
        <v>6</v>
      </c>
      <c r="V22" s="8">
        <v>6</v>
      </c>
      <c r="W22" s="7">
        <f t="shared" si="2"/>
        <v>50</v>
      </c>
      <c r="X22" s="7">
        <f t="shared" si="3"/>
        <v>27</v>
      </c>
      <c r="Y22" s="7">
        <f t="shared" si="4"/>
        <v>31</v>
      </c>
      <c r="Z22" s="7">
        <f t="shared" si="5"/>
        <v>23</v>
      </c>
      <c r="AA22" s="6">
        <f t="shared" si="1"/>
        <v>0.46</v>
      </c>
    </row>
    <row r="23" spans="1:27" s="1" customFormat="1" x14ac:dyDescent="0.25">
      <c r="A23" s="9"/>
      <c r="B23" s="14" t="s">
        <v>81</v>
      </c>
      <c r="C23" s="10">
        <v>102</v>
      </c>
      <c r="D23" s="10">
        <v>18664</v>
      </c>
      <c r="E23" s="12" t="s">
        <v>8</v>
      </c>
      <c r="F23" s="11" t="s">
        <v>28</v>
      </c>
      <c r="G23" s="10">
        <v>40</v>
      </c>
      <c r="H23" s="10">
        <v>10</v>
      </c>
      <c r="I23" s="10">
        <v>329</v>
      </c>
      <c r="J23" s="10">
        <v>0</v>
      </c>
      <c r="K23" s="10">
        <v>11</v>
      </c>
      <c r="L23" s="10">
        <v>10</v>
      </c>
      <c r="M23" s="10">
        <v>19</v>
      </c>
      <c r="N23" s="10">
        <v>29</v>
      </c>
      <c r="O23" s="8">
        <v>10</v>
      </c>
      <c r="P23" s="8">
        <v>5</v>
      </c>
      <c r="Q23" s="9">
        <v>264</v>
      </c>
      <c r="R23" s="9">
        <v>18</v>
      </c>
      <c r="S23" s="8">
        <v>5</v>
      </c>
      <c r="T23" s="8">
        <v>4</v>
      </c>
      <c r="U23" s="8">
        <v>9</v>
      </c>
      <c r="V23" s="8">
        <v>6</v>
      </c>
      <c r="W23" s="7">
        <f t="shared" si="2"/>
        <v>50</v>
      </c>
      <c r="X23" s="7">
        <f t="shared" si="3"/>
        <v>16</v>
      </c>
      <c r="Y23" s="7">
        <f t="shared" si="4"/>
        <v>28</v>
      </c>
      <c r="Z23" s="7">
        <f t="shared" si="5"/>
        <v>35</v>
      </c>
      <c r="AA23" s="6">
        <f t="shared" si="1"/>
        <v>0.7</v>
      </c>
    </row>
    <row r="24" spans="1:27" s="1" customFormat="1" x14ac:dyDescent="0.25">
      <c r="A24" s="9"/>
      <c r="B24" s="14" t="s">
        <v>81</v>
      </c>
      <c r="C24" s="10">
        <v>104</v>
      </c>
      <c r="D24" s="10">
        <v>2448</v>
      </c>
      <c r="E24" s="12" t="s">
        <v>42</v>
      </c>
      <c r="F24" s="11" t="s">
        <v>28</v>
      </c>
      <c r="G24" s="10">
        <v>25</v>
      </c>
      <c r="H24" s="10">
        <v>5</v>
      </c>
      <c r="I24" s="10">
        <v>163</v>
      </c>
      <c r="J24" s="10">
        <v>0</v>
      </c>
      <c r="K24" s="10">
        <v>5</v>
      </c>
      <c r="L24" s="10">
        <v>5</v>
      </c>
      <c r="M24" s="10">
        <v>8</v>
      </c>
      <c r="N24" s="10">
        <v>20</v>
      </c>
      <c r="O24" s="8">
        <v>25</v>
      </c>
      <c r="P24" s="8">
        <v>10</v>
      </c>
      <c r="Q24" s="9">
        <v>242</v>
      </c>
      <c r="R24" s="9">
        <v>15</v>
      </c>
      <c r="S24" s="8">
        <v>2</v>
      </c>
      <c r="T24" s="8">
        <v>9</v>
      </c>
      <c r="U24" s="8">
        <v>5</v>
      </c>
      <c r="V24" s="8">
        <v>24</v>
      </c>
      <c r="W24" s="7">
        <f t="shared" si="2"/>
        <v>50</v>
      </c>
      <c r="X24" s="7">
        <f t="shared" si="3"/>
        <v>7</v>
      </c>
      <c r="Y24" s="7">
        <f t="shared" si="4"/>
        <v>13</v>
      </c>
      <c r="Z24" s="7">
        <f t="shared" si="5"/>
        <v>44</v>
      </c>
      <c r="AA24" s="6">
        <f t="shared" si="1"/>
        <v>0.88</v>
      </c>
    </row>
    <row r="25" spans="1:27" s="1" customFormat="1" x14ac:dyDescent="0.25">
      <c r="A25" s="9"/>
      <c r="B25" s="14" t="s">
        <v>81</v>
      </c>
      <c r="C25" s="10">
        <v>105</v>
      </c>
      <c r="D25" s="10">
        <v>91386</v>
      </c>
      <c r="E25" s="12" t="s">
        <v>40</v>
      </c>
      <c r="F25" s="11" t="s">
        <v>21</v>
      </c>
      <c r="G25" s="10">
        <v>25</v>
      </c>
      <c r="H25" s="10">
        <v>5</v>
      </c>
      <c r="I25" s="10">
        <v>1792</v>
      </c>
      <c r="J25" s="10">
        <v>4</v>
      </c>
      <c r="K25" s="10">
        <v>8</v>
      </c>
      <c r="L25" s="10">
        <v>3</v>
      </c>
      <c r="M25" s="10">
        <v>16</v>
      </c>
      <c r="N25" s="10">
        <v>19</v>
      </c>
      <c r="O25" s="8">
        <v>25</v>
      </c>
      <c r="P25" s="8">
        <v>10</v>
      </c>
      <c r="Q25" s="9">
        <v>586</v>
      </c>
      <c r="R25" s="9">
        <v>28</v>
      </c>
      <c r="S25" s="8">
        <v>3</v>
      </c>
      <c r="T25" s="8">
        <v>4</v>
      </c>
      <c r="U25" s="8">
        <v>7</v>
      </c>
      <c r="V25" s="8">
        <v>28</v>
      </c>
      <c r="W25" s="7">
        <f t="shared" si="2"/>
        <v>50</v>
      </c>
      <c r="X25" s="7">
        <f t="shared" si="3"/>
        <v>11</v>
      </c>
      <c r="Y25" s="7">
        <f t="shared" si="4"/>
        <v>23</v>
      </c>
      <c r="Z25" s="7">
        <f t="shared" si="5"/>
        <v>47</v>
      </c>
      <c r="AA25" s="6">
        <f t="shared" si="1"/>
        <v>0.94</v>
      </c>
    </row>
    <row r="26" spans="1:27" s="1" customFormat="1" x14ac:dyDescent="0.25">
      <c r="A26" s="9"/>
      <c r="B26" s="14" t="s">
        <v>81</v>
      </c>
      <c r="C26" s="10">
        <v>107</v>
      </c>
      <c r="D26" s="10">
        <v>1271848</v>
      </c>
      <c r="E26" s="12" t="s">
        <v>45</v>
      </c>
      <c r="F26" s="11" t="s">
        <v>24</v>
      </c>
      <c r="G26" s="10">
        <v>30</v>
      </c>
      <c r="H26" s="10">
        <v>10</v>
      </c>
      <c r="I26" s="10">
        <v>212</v>
      </c>
      <c r="J26" s="10">
        <v>0</v>
      </c>
      <c r="K26" s="10">
        <v>10</v>
      </c>
      <c r="L26" s="10">
        <v>8</v>
      </c>
      <c r="M26" s="10">
        <v>16</v>
      </c>
      <c r="N26" s="10">
        <v>22</v>
      </c>
      <c r="O26" s="8">
        <v>20</v>
      </c>
      <c r="P26" s="8">
        <v>5</v>
      </c>
      <c r="Q26" s="9">
        <v>121</v>
      </c>
      <c r="R26" s="9">
        <v>9</v>
      </c>
      <c r="S26" s="8">
        <v>3</v>
      </c>
      <c r="T26" s="8">
        <v>5</v>
      </c>
      <c r="U26" s="8">
        <v>5</v>
      </c>
      <c r="V26" s="8">
        <v>17</v>
      </c>
      <c r="W26" s="7">
        <f t="shared" si="2"/>
        <v>50</v>
      </c>
      <c r="X26" s="7">
        <f t="shared" si="3"/>
        <v>13</v>
      </c>
      <c r="Y26" s="7">
        <f t="shared" si="4"/>
        <v>21</v>
      </c>
      <c r="Z26" s="7">
        <f t="shared" si="5"/>
        <v>39</v>
      </c>
      <c r="AA26" s="6">
        <f t="shared" si="1"/>
        <v>0.78</v>
      </c>
    </row>
    <row r="27" spans="1:27" s="1" customFormat="1" ht="26.4" x14ac:dyDescent="0.25">
      <c r="A27" s="9"/>
      <c r="B27" s="14" t="s">
        <v>81</v>
      </c>
      <c r="C27" s="10">
        <v>108</v>
      </c>
      <c r="D27" s="10">
        <v>83042</v>
      </c>
      <c r="E27" s="12" t="s">
        <v>69</v>
      </c>
      <c r="F27" s="11" t="s">
        <v>21</v>
      </c>
      <c r="G27" s="10">
        <v>10</v>
      </c>
      <c r="H27" s="10">
        <v>5</v>
      </c>
      <c r="I27" s="10">
        <v>21</v>
      </c>
      <c r="J27" s="10">
        <v>0</v>
      </c>
      <c r="K27" s="10">
        <v>3</v>
      </c>
      <c r="L27" s="10">
        <v>5</v>
      </c>
      <c r="M27" s="10">
        <v>3</v>
      </c>
      <c r="N27" s="10">
        <v>7</v>
      </c>
      <c r="O27" s="8">
        <v>20</v>
      </c>
      <c r="P27" s="8">
        <v>5</v>
      </c>
      <c r="Q27" s="9">
        <v>94</v>
      </c>
      <c r="R27" s="9">
        <v>5</v>
      </c>
      <c r="S27" s="8">
        <v>2</v>
      </c>
      <c r="T27" s="8">
        <v>4</v>
      </c>
      <c r="U27" s="8">
        <v>3</v>
      </c>
      <c r="V27" s="8">
        <v>19</v>
      </c>
      <c r="W27" s="7">
        <f t="shared" si="2"/>
        <v>30</v>
      </c>
      <c r="X27" s="7">
        <f t="shared" si="3"/>
        <v>5</v>
      </c>
      <c r="Y27" s="7">
        <f t="shared" si="4"/>
        <v>6</v>
      </c>
      <c r="Z27" s="7">
        <f t="shared" si="5"/>
        <v>26</v>
      </c>
      <c r="AA27" s="6">
        <f t="shared" si="1"/>
        <v>0.8666666666666667</v>
      </c>
    </row>
    <row r="28" spans="1:27" s="1" customFormat="1" ht="26.4" x14ac:dyDescent="0.25">
      <c r="A28" s="9"/>
      <c r="B28" s="14" t="s">
        <v>81</v>
      </c>
      <c r="C28" s="10">
        <v>110</v>
      </c>
      <c r="D28" s="10">
        <v>83034</v>
      </c>
      <c r="E28" s="12" t="s">
        <v>32</v>
      </c>
      <c r="F28" s="11" t="s">
        <v>30</v>
      </c>
      <c r="G28" s="10">
        <v>20</v>
      </c>
      <c r="H28" s="10">
        <v>5</v>
      </c>
      <c r="I28" s="10">
        <v>141</v>
      </c>
      <c r="J28" s="10">
        <v>0</v>
      </c>
      <c r="K28" s="10">
        <v>5</v>
      </c>
      <c r="L28" s="10">
        <v>3</v>
      </c>
      <c r="M28" s="10">
        <v>13</v>
      </c>
      <c r="N28" s="10">
        <v>17</v>
      </c>
      <c r="O28" s="8">
        <v>10</v>
      </c>
      <c r="P28" s="8">
        <v>5</v>
      </c>
      <c r="Q28" s="9">
        <v>78</v>
      </c>
      <c r="R28" s="9">
        <v>5</v>
      </c>
      <c r="S28" s="8">
        <v>2</v>
      </c>
      <c r="T28" s="8">
        <v>3</v>
      </c>
      <c r="U28" s="8">
        <v>2</v>
      </c>
      <c r="V28" s="8">
        <v>10</v>
      </c>
      <c r="W28" s="7">
        <f t="shared" si="2"/>
        <v>30</v>
      </c>
      <c r="X28" s="7">
        <f t="shared" si="3"/>
        <v>7</v>
      </c>
      <c r="Y28" s="7">
        <f t="shared" si="4"/>
        <v>15</v>
      </c>
      <c r="Z28" s="7">
        <f t="shared" si="5"/>
        <v>27</v>
      </c>
      <c r="AA28" s="6">
        <f t="shared" si="1"/>
        <v>0.9</v>
      </c>
    </row>
    <row r="29" spans="1:27" s="1" customFormat="1" x14ac:dyDescent="0.25">
      <c r="A29" s="9"/>
      <c r="B29" s="14" t="s">
        <v>81</v>
      </c>
      <c r="C29" s="10">
        <v>112</v>
      </c>
      <c r="D29" s="10">
        <v>19495</v>
      </c>
      <c r="E29" s="12" t="s">
        <v>80</v>
      </c>
      <c r="F29" s="11" t="s">
        <v>30</v>
      </c>
      <c r="G29" s="10">
        <v>30</v>
      </c>
      <c r="H29" s="10">
        <v>10</v>
      </c>
      <c r="I29" s="10">
        <v>12</v>
      </c>
      <c r="J29" s="10">
        <v>0</v>
      </c>
      <c r="K29" s="10">
        <v>11</v>
      </c>
      <c r="L29" s="10">
        <v>10</v>
      </c>
      <c r="M29" s="10">
        <v>13</v>
      </c>
      <c r="N29" s="10">
        <v>19</v>
      </c>
      <c r="O29" s="8">
        <v>20</v>
      </c>
      <c r="P29" s="8">
        <v>5</v>
      </c>
      <c r="Q29" s="9">
        <v>125</v>
      </c>
      <c r="R29" s="9">
        <v>7</v>
      </c>
      <c r="S29" s="8">
        <v>9</v>
      </c>
      <c r="T29" s="8">
        <v>4</v>
      </c>
      <c r="U29" s="8">
        <v>11</v>
      </c>
      <c r="V29" s="8">
        <v>12</v>
      </c>
      <c r="W29" s="7">
        <f t="shared" si="2"/>
        <v>50</v>
      </c>
      <c r="X29" s="7">
        <f t="shared" si="3"/>
        <v>20</v>
      </c>
      <c r="Y29" s="7">
        <f t="shared" si="4"/>
        <v>24</v>
      </c>
      <c r="Z29" s="7">
        <f t="shared" si="5"/>
        <v>31</v>
      </c>
      <c r="AA29" s="6">
        <f t="shared" si="1"/>
        <v>0.62</v>
      </c>
    </row>
    <row r="30" spans="1:27" s="1" customFormat="1" x14ac:dyDescent="0.25">
      <c r="A30" s="9"/>
      <c r="B30" s="14" t="s">
        <v>78</v>
      </c>
      <c r="C30" s="10">
        <v>123</v>
      </c>
      <c r="D30" s="10">
        <v>1268556</v>
      </c>
      <c r="E30" s="12" t="s">
        <v>79</v>
      </c>
      <c r="F30" s="11" t="s">
        <v>28</v>
      </c>
      <c r="G30" s="10">
        <v>40</v>
      </c>
      <c r="H30" s="10">
        <v>10</v>
      </c>
      <c r="I30" s="10">
        <v>13</v>
      </c>
      <c r="J30" s="10">
        <v>0</v>
      </c>
      <c r="K30" s="10">
        <v>19</v>
      </c>
      <c r="L30" s="10">
        <v>10</v>
      </c>
      <c r="M30" s="10">
        <v>22</v>
      </c>
      <c r="N30" s="10">
        <v>21</v>
      </c>
      <c r="O30" s="8">
        <v>10</v>
      </c>
      <c r="P30" s="8">
        <v>5</v>
      </c>
      <c r="Q30" s="9">
        <v>88</v>
      </c>
      <c r="R30" s="9">
        <v>7</v>
      </c>
      <c r="S30" s="8">
        <v>4</v>
      </c>
      <c r="T30" s="8">
        <v>4</v>
      </c>
      <c r="U30" s="8">
        <v>6</v>
      </c>
      <c r="V30" s="8">
        <v>7</v>
      </c>
      <c r="W30" s="7">
        <f t="shared" si="2"/>
        <v>50</v>
      </c>
      <c r="X30" s="7">
        <f t="shared" si="3"/>
        <v>23</v>
      </c>
      <c r="Y30" s="7">
        <f t="shared" si="4"/>
        <v>28</v>
      </c>
      <c r="Z30" s="7">
        <f t="shared" si="5"/>
        <v>28</v>
      </c>
      <c r="AA30" s="6">
        <f t="shared" si="1"/>
        <v>0.56000000000000005</v>
      </c>
    </row>
    <row r="31" spans="1:27" s="1" customFormat="1" x14ac:dyDescent="0.25">
      <c r="A31" s="9"/>
      <c r="B31" s="14" t="s">
        <v>78</v>
      </c>
      <c r="C31" s="10">
        <v>124</v>
      </c>
      <c r="D31" s="10">
        <v>83347</v>
      </c>
      <c r="E31" s="12" t="s">
        <v>22</v>
      </c>
      <c r="F31" s="11" t="s">
        <v>21</v>
      </c>
      <c r="G31" s="10">
        <v>40</v>
      </c>
      <c r="H31" s="10">
        <v>10</v>
      </c>
      <c r="I31" s="10">
        <v>154</v>
      </c>
      <c r="J31" s="10">
        <v>0</v>
      </c>
      <c r="K31" s="10">
        <v>8</v>
      </c>
      <c r="L31" s="10">
        <v>8</v>
      </c>
      <c r="M31" s="10">
        <v>15</v>
      </c>
      <c r="N31" s="10">
        <v>34</v>
      </c>
      <c r="O31" s="8">
        <v>10</v>
      </c>
      <c r="P31" s="8">
        <v>5</v>
      </c>
      <c r="Q31" s="9">
        <v>224</v>
      </c>
      <c r="R31" s="9">
        <v>14</v>
      </c>
      <c r="S31" s="8">
        <v>0</v>
      </c>
      <c r="T31" s="8">
        <v>4</v>
      </c>
      <c r="U31" s="8">
        <v>4</v>
      </c>
      <c r="V31" s="8">
        <v>11</v>
      </c>
      <c r="W31" s="7">
        <f t="shared" si="2"/>
        <v>50</v>
      </c>
      <c r="X31" s="7">
        <f t="shared" si="3"/>
        <v>8</v>
      </c>
      <c r="Y31" s="7">
        <f t="shared" si="4"/>
        <v>19</v>
      </c>
      <c r="Z31" s="7">
        <f t="shared" si="5"/>
        <v>45</v>
      </c>
      <c r="AA31" s="6">
        <f t="shared" si="1"/>
        <v>0.9</v>
      </c>
    </row>
    <row r="32" spans="1:27" s="1" customFormat="1" x14ac:dyDescent="0.25">
      <c r="A32" s="9"/>
      <c r="B32" s="14" t="s">
        <v>78</v>
      </c>
      <c r="C32" s="10">
        <v>125</v>
      </c>
      <c r="D32" s="10">
        <v>83344</v>
      </c>
      <c r="E32" s="12" t="s">
        <v>22</v>
      </c>
      <c r="F32" s="11" t="s">
        <v>28</v>
      </c>
      <c r="G32" s="10">
        <v>40</v>
      </c>
      <c r="H32" s="10">
        <v>10</v>
      </c>
      <c r="I32" s="10">
        <v>96</v>
      </c>
      <c r="J32" s="10">
        <v>0</v>
      </c>
      <c r="K32" s="10">
        <v>12</v>
      </c>
      <c r="L32" s="10">
        <v>10</v>
      </c>
      <c r="M32" s="10">
        <v>15</v>
      </c>
      <c r="N32" s="10">
        <v>28</v>
      </c>
      <c r="O32" s="8">
        <v>10</v>
      </c>
      <c r="P32" s="8">
        <v>5</v>
      </c>
      <c r="Q32" s="9">
        <v>255</v>
      </c>
      <c r="R32" s="9">
        <v>19</v>
      </c>
      <c r="S32" s="8">
        <v>2</v>
      </c>
      <c r="T32" s="8">
        <v>4</v>
      </c>
      <c r="U32" s="8">
        <v>5</v>
      </c>
      <c r="V32" s="8">
        <v>9</v>
      </c>
      <c r="W32" s="7">
        <f t="shared" si="2"/>
        <v>50</v>
      </c>
      <c r="X32" s="7">
        <f t="shared" si="3"/>
        <v>14</v>
      </c>
      <c r="Y32" s="7">
        <f t="shared" si="4"/>
        <v>20</v>
      </c>
      <c r="Z32" s="7">
        <f t="shared" si="5"/>
        <v>37</v>
      </c>
      <c r="AA32" s="6">
        <f t="shared" si="1"/>
        <v>0.74</v>
      </c>
    </row>
    <row r="33" spans="1:27" s="1" customFormat="1" x14ac:dyDescent="0.25">
      <c r="A33" s="9"/>
      <c r="B33" s="14" t="s">
        <v>76</v>
      </c>
      <c r="C33" s="10">
        <v>201</v>
      </c>
      <c r="D33" s="10">
        <v>83296</v>
      </c>
      <c r="E33" s="12" t="s">
        <v>59</v>
      </c>
      <c r="F33" s="11" t="s">
        <v>21</v>
      </c>
      <c r="G33" s="10">
        <v>30</v>
      </c>
      <c r="H33" s="10">
        <v>10</v>
      </c>
      <c r="I33" s="10">
        <v>32</v>
      </c>
      <c r="J33" s="10">
        <v>0</v>
      </c>
      <c r="K33" s="10">
        <v>13</v>
      </c>
      <c r="L33" s="10">
        <v>9</v>
      </c>
      <c r="M33" s="10">
        <v>13</v>
      </c>
      <c r="N33" s="10">
        <v>18</v>
      </c>
      <c r="O33" s="8">
        <v>10</v>
      </c>
      <c r="P33" s="8">
        <v>5</v>
      </c>
      <c r="Q33" s="9">
        <v>100</v>
      </c>
      <c r="R33" s="9">
        <v>4</v>
      </c>
      <c r="S33" s="8">
        <v>4</v>
      </c>
      <c r="T33" s="8">
        <v>4</v>
      </c>
      <c r="U33" s="8">
        <v>5</v>
      </c>
      <c r="V33" s="8">
        <v>7</v>
      </c>
      <c r="W33" s="7">
        <f t="shared" si="2"/>
        <v>40</v>
      </c>
      <c r="X33" s="7">
        <f t="shared" si="3"/>
        <v>17</v>
      </c>
      <c r="Y33" s="7">
        <f t="shared" si="4"/>
        <v>18</v>
      </c>
      <c r="Z33" s="7">
        <f t="shared" si="5"/>
        <v>25</v>
      </c>
      <c r="AA33" s="6">
        <f t="shared" si="1"/>
        <v>0.625</v>
      </c>
    </row>
    <row r="34" spans="1:27" s="1" customFormat="1" ht="26.4" x14ac:dyDescent="0.25">
      <c r="A34" s="9"/>
      <c r="B34" s="14" t="s">
        <v>76</v>
      </c>
      <c r="C34" s="10">
        <v>202</v>
      </c>
      <c r="D34" s="10">
        <v>18671</v>
      </c>
      <c r="E34" s="12" t="s">
        <v>77</v>
      </c>
      <c r="F34" s="11" t="s">
        <v>24</v>
      </c>
      <c r="G34" s="10">
        <v>35</v>
      </c>
      <c r="H34" s="10">
        <v>10</v>
      </c>
      <c r="I34" s="10">
        <v>204</v>
      </c>
      <c r="J34" s="10">
        <v>0</v>
      </c>
      <c r="K34" s="10">
        <v>14</v>
      </c>
      <c r="L34" s="10">
        <v>9</v>
      </c>
      <c r="M34" s="10">
        <v>21</v>
      </c>
      <c r="N34" s="10">
        <v>22</v>
      </c>
      <c r="O34" s="8">
        <v>5</v>
      </c>
      <c r="P34" s="8">
        <v>5</v>
      </c>
      <c r="Q34" s="9">
        <v>115</v>
      </c>
      <c r="R34" s="9">
        <v>16</v>
      </c>
      <c r="S34" s="8">
        <v>0</v>
      </c>
      <c r="T34" s="8">
        <v>4</v>
      </c>
      <c r="U34" s="8">
        <v>5</v>
      </c>
      <c r="V34" s="8">
        <v>6</v>
      </c>
      <c r="W34" s="7">
        <f t="shared" si="2"/>
        <v>40</v>
      </c>
      <c r="X34" s="7">
        <f t="shared" si="3"/>
        <v>14</v>
      </c>
      <c r="Y34" s="7">
        <f t="shared" si="4"/>
        <v>26</v>
      </c>
      <c r="Z34" s="7">
        <f t="shared" si="5"/>
        <v>28</v>
      </c>
      <c r="AA34" s="6">
        <f t="shared" si="1"/>
        <v>0.7</v>
      </c>
    </row>
    <row r="35" spans="1:27" s="1" customFormat="1" ht="26.4" x14ac:dyDescent="0.25">
      <c r="A35" s="9"/>
      <c r="B35" s="14" t="s">
        <v>76</v>
      </c>
      <c r="C35" s="10">
        <v>203</v>
      </c>
      <c r="D35" s="10">
        <v>1268598</v>
      </c>
      <c r="E35" s="12" t="s">
        <v>25</v>
      </c>
      <c r="F35" s="11" t="s">
        <v>28</v>
      </c>
      <c r="G35" s="10">
        <v>30</v>
      </c>
      <c r="H35" s="10">
        <v>10</v>
      </c>
      <c r="I35" s="10">
        <v>49</v>
      </c>
      <c r="J35" s="10">
        <v>0</v>
      </c>
      <c r="K35" s="10">
        <v>6</v>
      </c>
      <c r="L35" s="10">
        <v>10</v>
      </c>
      <c r="M35" s="10">
        <v>11</v>
      </c>
      <c r="N35" s="10">
        <v>24</v>
      </c>
      <c r="O35" s="8">
        <v>10</v>
      </c>
      <c r="P35" s="8">
        <v>5</v>
      </c>
      <c r="Q35" s="9">
        <v>117</v>
      </c>
      <c r="R35" s="9">
        <v>7</v>
      </c>
      <c r="S35" s="8">
        <v>2</v>
      </c>
      <c r="T35" s="8">
        <v>3</v>
      </c>
      <c r="U35" s="8">
        <v>4</v>
      </c>
      <c r="V35" s="8">
        <v>10</v>
      </c>
      <c r="W35" s="7">
        <f t="shared" si="2"/>
        <v>40</v>
      </c>
      <c r="X35" s="7">
        <f t="shared" si="3"/>
        <v>8</v>
      </c>
      <c r="Y35" s="7">
        <f t="shared" si="4"/>
        <v>15</v>
      </c>
      <c r="Z35" s="7">
        <f t="shared" si="5"/>
        <v>34</v>
      </c>
      <c r="AA35" s="6">
        <f t="shared" si="1"/>
        <v>0.85</v>
      </c>
    </row>
    <row r="36" spans="1:27" s="1" customFormat="1" x14ac:dyDescent="0.25">
      <c r="A36" s="9"/>
      <c r="B36" s="14" t="s">
        <v>76</v>
      </c>
      <c r="C36" s="10">
        <v>204</v>
      </c>
      <c r="D36" s="10">
        <v>83289</v>
      </c>
      <c r="E36" s="12" t="s">
        <v>58</v>
      </c>
      <c r="F36" s="11" t="s">
        <v>21</v>
      </c>
      <c r="G36" s="10">
        <v>30</v>
      </c>
      <c r="H36" s="10">
        <v>10</v>
      </c>
      <c r="I36" s="10">
        <v>0</v>
      </c>
      <c r="J36" s="10">
        <v>0</v>
      </c>
      <c r="K36" s="10">
        <v>16</v>
      </c>
      <c r="L36" s="10">
        <v>10</v>
      </c>
      <c r="M36" s="10">
        <v>16</v>
      </c>
      <c r="N36" s="10">
        <v>14</v>
      </c>
      <c r="O36" s="8">
        <v>10</v>
      </c>
      <c r="P36" s="8">
        <v>5</v>
      </c>
      <c r="Q36" s="9">
        <v>51</v>
      </c>
      <c r="R36" s="9">
        <v>3</v>
      </c>
      <c r="S36" s="8">
        <v>3</v>
      </c>
      <c r="T36" s="8">
        <v>5</v>
      </c>
      <c r="U36" s="8">
        <v>4</v>
      </c>
      <c r="V36" s="8">
        <v>7</v>
      </c>
      <c r="W36" s="7">
        <f t="shared" si="2"/>
        <v>40</v>
      </c>
      <c r="X36" s="7">
        <f t="shared" si="3"/>
        <v>19</v>
      </c>
      <c r="Y36" s="7">
        <f t="shared" si="4"/>
        <v>20</v>
      </c>
      <c r="Z36" s="7">
        <f t="shared" si="5"/>
        <v>21</v>
      </c>
      <c r="AA36" s="6">
        <f t="shared" si="1"/>
        <v>0.52500000000000002</v>
      </c>
    </row>
    <row r="37" spans="1:27" s="15" customFormat="1" ht="26.4" x14ac:dyDescent="0.25">
      <c r="A37" s="9"/>
      <c r="B37" s="14" t="s">
        <v>75</v>
      </c>
      <c r="C37" s="10">
        <v>213</v>
      </c>
      <c r="D37" s="10">
        <v>91649</v>
      </c>
      <c r="E37" s="12" t="s">
        <v>54</v>
      </c>
      <c r="F37" s="11" t="s">
        <v>24</v>
      </c>
      <c r="G37" s="10">
        <v>32</v>
      </c>
      <c r="H37" s="10">
        <v>10</v>
      </c>
      <c r="I37" s="10">
        <v>47</v>
      </c>
      <c r="J37" s="10">
        <v>0</v>
      </c>
      <c r="K37" s="10">
        <v>7</v>
      </c>
      <c r="L37" s="10">
        <v>9</v>
      </c>
      <c r="M37" s="10">
        <v>18</v>
      </c>
      <c r="N37" s="10">
        <v>26</v>
      </c>
      <c r="O37" s="8">
        <v>8</v>
      </c>
      <c r="P37" s="8">
        <v>5</v>
      </c>
      <c r="Q37" s="9">
        <v>96</v>
      </c>
      <c r="R37" s="9">
        <v>11</v>
      </c>
      <c r="S37" s="8">
        <v>5</v>
      </c>
      <c r="T37" s="8">
        <v>5</v>
      </c>
      <c r="U37" s="8">
        <v>8</v>
      </c>
      <c r="V37" s="8">
        <v>3</v>
      </c>
      <c r="W37" s="7">
        <f t="shared" si="2"/>
        <v>40</v>
      </c>
      <c r="X37" s="7">
        <f t="shared" si="3"/>
        <v>12</v>
      </c>
      <c r="Y37" s="7">
        <f t="shared" si="4"/>
        <v>26</v>
      </c>
      <c r="Z37" s="7">
        <f t="shared" si="5"/>
        <v>29</v>
      </c>
      <c r="AA37" s="6">
        <f t="shared" si="1"/>
        <v>0.72499999999999998</v>
      </c>
    </row>
    <row r="38" spans="1:27" s="1" customFormat="1" x14ac:dyDescent="0.25">
      <c r="A38" s="9"/>
      <c r="B38" s="14" t="s">
        <v>75</v>
      </c>
      <c r="C38" s="10">
        <v>214</v>
      </c>
      <c r="D38" s="10" t="s">
        <v>0</v>
      </c>
      <c r="E38" s="12" t="s">
        <v>45</v>
      </c>
      <c r="F38" s="11" t="s">
        <v>28</v>
      </c>
      <c r="G38" s="10">
        <v>40</v>
      </c>
      <c r="H38" s="10">
        <v>10</v>
      </c>
      <c r="I38" s="10">
        <v>0</v>
      </c>
      <c r="J38" s="10">
        <v>0</v>
      </c>
      <c r="K38" s="10">
        <v>24</v>
      </c>
      <c r="L38" s="10">
        <v>10</v>
      </c>
      <c r="M38" s="10">
        <v>15</v>
      </c>
      <c r="N38" s="10">
        <v>16</v>
      </c>
      <c r="O38" s="8" t="s">
        <v>0</v>
      </c>
      <c r="P38" s="9" t="s">
        <v>0</v>
      </c>
      <c r="Q38" s="9" t="s">
        <v>0</v>
      </c>
      <c r="R38" s="9" t="s">
        <v>0</v>
      </c>
      <c r="S38" s="8">
        <v>0</v>
      </c>
      <c r="T38" s="8">
        <v>0</v>
      </c>
      <c r="U38" s="8" t="s">
        <v>0</v>
      </c>
      <c r="V38" s="8">
        <v>0</v>
      </c>
      <c r="W38" s="7">
        <f>G38</f>
        <v>40</v>
      </c>
      <c r="X38" s="7">
        <f>K38</f>
        <v>24</v>
      </c>
      <c r="Y38" s="7">
        <f>M38</f>
        <v>15</v>
      </c>
      <c r="Z38" s="7">
        <f>N38</f>
        <v>16</v>
      </c>
      <c r="AA38" s="6">
        <f t="shared" si="1"/>
        <v>0.4</v>
      </c>
    </row>
    <row r="39" spans="1:27" s="15" customFormat="1" ht="26.4" x14ac:dyDescent="0.25">
      <c r="A39" s="9"/>
      <c r="B39" s="14" t="s">
        <v>74</v>
      </c>
      <c r="C39" s="10">
        <v>211</v>
      </c>
      <c r="D39" s="10">
        <v>83280</v>
      </c>
      <c r="E39" s="12" t="s">
        <v>31</v>
      </c>
      <c r="F39" s="11" t="s">
        <v>30</v>
      </c>
      <c r="G39" s="10">
        <v>10</v>
      </c>
      <c r="H39" s="10">
        <v>5</v>
      </c>
      <c r="I39" s="10">
        <v>11</v>
      </c>
      <c r="J39" s="10">
        <v>0</v>
      </c>
      <c r="K39" s="10">
        <v>2</v>
      </c>
      <c r="L39" s="10">
        <v>5</v>
      </c>
      <c r="M39" s="10">
        <v>2</v>
      </c>
      <c r="N39" s="10">
        <v>8</v>
      </c>
      <c r="O39" s="8">
        <v>20</v>
      </c>
      <c r="P39" s="8">
        <v>5</v>
      </c>
      <c r="Q39" s="9">
        <v>57</v>
      </c>
      <c r="R39" s="9">
        <v>4</v>
      </c>
      <c r="S39" s="8">
        <v>9</v>
      </c>
      <c r="T39" s="8">
        <v>4</v>
      </c>
      <c r="U39" s="8">
        <v>10</v>
      </c>
      <c r="V39" s="8">
        <v>12</v>
      </c>
      <c r="W39" s="7">
        <f t="shared" ref="W39:W70" si="6">G39+O39</f>
        <v>30</v>
      </c>
      <c r="X39" s="7">
        <f t="shared" ref="X39:X70" si="7">K39+S39</f>
        <v>11</v>
      </c>
      <c r="Y39" s="7">
        <f t="shared" ref="Y39:Y70" si="8">M39+U39</f>
        <v>12</v>
      </c>
      <c r="Z39" s="7">
        <f t="shared" ref="Z39:Z70" si="9">N39+V39</f>
        <v>20</v>
      </c>
      <c r="AA39" s="6">
        <f t="shared" si="1"/>
        <v>0.66666666666666663</v>
      </c>
    </row>
    <row r="40" spans="1:27" s="1" customFormat="1" ht="26.4" x14ac:dyDescent="0.25">
      <c r="A40" s="9"/>
      <c r="B40" s="14" t="s">
        <v>74</v>
      </c>
      <c r="C40" s="10">
        <v>212</v>
      </c>
      <c r="D40" s="10">
        <v>83271</v>
      </c>
      <c r="E40" s="12" t="s">
        <v>32</v>
      </c>
      <c r="F40" s="11" t="s">
        <v>30</v>
      </c>
      <c r="G40" s="10">
        <v>30</v>
      </c>
      <c r="H40" s="10">
        <v>10</v>
      </c>
      <c r="I40" s="10">
        <v>2</v>
      </c>
      <c r="J40" s="10">
        <v>0</v>
      </c>
      <c r="K40" s="10">
        <v>13</v>
      </c>
      <c r="L40" s="10">
        <v>10</v>
      </c>
      <c r="M40" s="10">
        <v>14</v>
      </c>
      <c r="N40" s="10">
        <v>17</v>
      </c>
      <c r="O40" s="8">
        <v>10</v>
      </c>
      <c r="P40" s="8">
        <v>5</v>
      </c>
      <c r="Q40" s="9">
        <v>61</v>
      </c>
      <c r="R40" s="9">
        <v>8</v>
      </c>
      <c r="S40" s="8">
        <v>3</v>
      </c>
      <c r="T40" s="8">
        <v>3</v>
      </c>
      <c r="U40" s="8">
        <v>5</v>
      </c>
      <c r="V40" s="8">
        <v>9</v>
      </c>
      <c r="W40" s="7">
        <f t="shared" si="6"/>
        <v>40</v>
      </c>
      <c r="X40" s="7">
        <f t="shared" si="7"/>
        <v>16</v>
      </c>
      <c r="Y40" s="7">
        <f t="shared" si="8"/>
        <v>19</v>
      </c>
      <c r="Z40" s="7">
        <f t="shared" si="9"/>
        <v>26</v>
      </c>
      <c r="AA40" s="6">
        <f t="shared" si="1"/>
        <v>0.65</v>
      </c>
    </row>
    <row r="41" spans="1:27" s="1" customFormat="1" ht="26.4" x14ac:dyDescent="0.25">
      <c r="A41" s="9"/>
      <c r="B41" s="14" t="s">
        <v>73</v>
      </c>
      <c r="C41" s="10">
        <v>236</v>
      </c>
      <c r="D41" s="10">
        <v>68566</v>
      </c>
      <c r="E41" s="12" t="s">
        <v>33</v>
      </c>
      <c r="F41" s="11" t="s">
        <v>30</v>
      </c>
      <c r="G41" s="10">
        <v>30</v>
      </c>
      <c r="H41" s="10">
        <v>10</v>
      </c>
      <c r="I41" s="10">
        <v>75</v>
      </c>
      <c r="J41" s="10">
        <v>0</v>
      </c>
      <c r="K41" s="10">
        <v>13</v>
      </c>
      <c r="L41" s="10">
        <v>10</v>
      </c>
      <c r="M41" s="10">
        <v>16</v>
      </c>
      <c r="N41" s="10">
        <v>17</v>
      </c>
      <c r="O41" s="8">
        <v>15</v>
      </c>
      <c r="P41" s="8">
        <v>5</v>
      </c>
      <c r="Q41" s="9">
        <v>87</v>
      </c>
      <c r="R41" s="9">
        <v>5</v>
      </c>
      <c r="S41" s="8">
        <v>4</v>
      </c>
      <c r="T41" s="8">
        <v>4</v>
      </c>
      <c r="U41" s="8">
        <v>5</v>
      </c>
      <c r="V41" s="8">
        <v>12</v>
      </c>
      <c r="W41" s="7">
        <f t="shared" si="6"/>
        <v>45</v>
      </c>
      <c r="X41" s="7">
        <f t="shared" si="7"/>
        <v>17</v>
      </c>
      <c r="Y41" s="7">
        <f t="shared" si="8"/>
        <v>21</v>
      </c>
      <c r="Z41" s="7">
        <f t="shared" si="9"/>
        <v>29</v>
      </c>
      <c r="AA41" s="6">
        <f t="shared" si="1"/>
        <v>0.64444444444444449</v>
      </c>
    </row>
    <row r="42" spans="1:27" s="1" customFormat="1" x14ac:dyDescent="0.25">
      <c r="A42" s="9"/>
      <c r="B42" s="14" t="s">
        <v>73</v>
      </c>
      <c r="C42" s="10">
        <v>237</v>
      </c>
      <c r="D42" s="10">
        <v>83353</v>
      </c>
      <c r="E42" s="12" t="s">
        <v>22</v>
      </c>
      <c r="F42" s="11" t="s">
        <v>28</v>
      </c>
      <c r="G42" s="10">
        <v>20</v>
      </c>
      <c r="H42" s="10">
        <v>5</v>
      </c>
      <c r="I42" s="10">
        <v>30</v>
      </c>
      <c r="J42" s="10">
        <v>0</v>
      </c>
      <c r="K42" s="10">
        <v>5</v>
      </c>
      <c r="L42" s="10">
        <v>4</v>
      </c>
      <c r="M42" s="10">
        <v>5</v>
      </c>
      <c r="N42" s="10">
        <v>10</v>
      </c>
      <c r="O42" s="8">
        <v>20</v>
      </c>
      <c r="P42" s="8">
        <v>5</v>
      </c>
      <c r="Q42" s="9">
        <v>147</v>
      </c>
      <c r="R42" s="9">
        <v>11</v>
      </c>
      <c r="S42" s="8">
        <v>4</v>
      </c>
      <c r="T42" s="8">
        <v>4</v>
      </c>
      <c r="U42" s="8">
        <v>10</v>
      </c>
      <c r="V42" s="8">
        <v>15</v>
      </c>
      <c r="W42" s="7">
        <f t="shared" si="6"/>
        <v>40</v>
      </c>
      <c r="X42" s="7">
        <f t="shared" si="7"/>
        <v>9</v>
      </c>
      <c r="Y42" s="7">
        <f t="shared" si="8"/>
        <v>15</v>
      </c>
      <c r="Z42" s="7">
        <f t="shared" si="9"/>
        <v>25</v>
      </c>
      <c r="AA42" s="6">
        <f t="shared" ref="AA42:AA73" si="10">Z42/W42</f>
        <v>0.625</v>
      </c>
    </row>
    <row r="43" spans="1:27" s="1" customFormat="1" x14ac:dyDescent="0.25">
      <c r="A43" s="9"/>
      <c r="B43" s="14" t="s">
        <v>73</v>
      </c>
      <c r="C43" s="10">
        <v>238</v>
      </c>
      <c r="D43" s="10">
        <v>83353</v>
      </c>
      <c r="E43" s="12" t="s">
        <v>22</v>
      </c>
      <c r="F43" s="11" t="s">
        <v>30</v>
      </c>
      <c r="G43" s="10">
        <v>20</v>
      </c>
      <c r="H43" s="10">
        <v>5</v>
      </c>
      <c r="I43" s="10">
        <v>37</v>
      </c>
      <c r="J43" s="10">
        <v>0</v>
      </c>
      <c r="K43" s="10">
        <v>6</v>
      </c>
      <c r="L43" s="10">
        <v>5</v>
      </c>
      <c r="M43" s="10">
        <v>6</v>
      </c>
      <c r="N43" s="10">
        <v>13</v>
      </c>
      <c r="O43" s="8">
        <v>20</v>
      </c>
      <c r="P43" s="8">
        <v>5</v>
      </c>
      <c r="Q43" s="9">
        <v>124</v>
      </c>
      <c r="R43" s="9">
        <v>10</v>
      </c>
      <c r="S43" s="8">
        <v>3</v>
      </c>
      <c r="T43" s="8">
        <v>3</v>
      </c>
      <c r="U43" s="8">
        <v>7</v>
      </c>
      <c r="V43" s="8">
        <v>18</v>
      </c>
      <c r="W43" s="7">
        <f t="shared" si="6"/>
        <v>40</v>
      </c>
      <c r="X43" s="7">
        <f t="shared" si="7"/>
        <v>9</v>
      </c>
      <c r="Y43" s="7">
        <f t="shared" si="8"/>
        <v>13</v>
      </c>
      <c r="Z43" s="7">
        <f t="shared" si="9"/>
        <v>31</v>
      </c>
      <c r="AA43" s="6">
        <f t="shared" si="10"/>
        <v>0.77500000000000002</v>
      </c>
    </row>
    <row r="44" spans="1:27" s="1" customFormat="1" ht="26.4" x14ac:dyDescent="0.25">
      <c r="A44" s="9"/>
      <c r="B44" s="14" t="s">
        <v>72</v>
      </c>
      <c r="C44" s="10">
        <v>232</v>
      </c>
      <c r="D44" s="10">
        <v>2442</v>
      </c>
      <c r="E44" s="12" t="s">
        <v>35</v>
      </c>
      <c r="F44" s="11" t="s">
        <v>24</v>
      </c>
      <c r="G44" s="10">
        <v>25</v>
      </c>
      <c r="H44" s="10">
        <v>5</v>
      </c>
      <c r="I44" s="10">
        <v>155</v>
      </c>
      <c r="J44" s="10">
        <v>0</v>
      </c>
      <c r="K44" s="10">
        <v>10</v>
      </c>
      <c r="L44" s="10">
        <v>2</v>
      </c>
      <c r="M44" s="10">
        <v>18</v>
      </c>
      <c r="N44" s="10">
        <v>18</v>
      </c>
      <c r="O44" s="8">
        <v>10</v>
      </c>
      <c r="P44" s="8">
        <v>5</v>
      </c>
      <c r="Q44" s="9">
        <v>12</v>
      </c>
      <c r="R44" s="9">
        <v>5</v>
      </c>
      <c r="S44" s="8">
        <v>6</v>
      </c>
      <c r="T44" s="8">
        <v>5</v>
      </c>
      <c r="U44" s="8">
        <v>9</v>
      </c>
      <c r="V44" s="8">
        <v>4</v>
      </c>
      <c r="W44" s="7">
        <f t="shared" si="6"/>
        <v>35</v>
      </c>
      <c r="X44" s="7">
        <f t="shared" si="7"/>
        <v>16</v>
      </c>
      <c r="Y44" s="7">
        <f t="shared" si="8"/>
        <v>27</v>
      </c>
      <c r="Z44" s="7">
        <f t="shared" si="9"/>
        <v>22</v>
      </c>
      <c r="AA44" s="6">
        <f t="shared" si="10"/>
        <v>0.62857142857142856</v>
      </c>
    </row>
    <row r="45" spans="1:27" s="1" customFormat="1" ht="26.4" x14ac:dyDescent="0.25">
      <c r="A45" s="9"/>
      <c r="B45" s="14" t="s">
        <v>72</v>
      </c>
      <c r="C45" s="10">
        <v>234</v>
      </c>
      <c r="D45" s="10">
        <v>1268537</v>
      </c>
      <c r="E45" s="12" t="s">
        <v>71</v>
      </c>
      <c r="F45" s="11" t="s">
        <v>24</v>
      </c>
      <c r="G45" s="10">
        <v>15</v>
      </c>
      <c r="H45" s="10">
        <v>5</v>
      </c>
      <c r="I45" s="10">
        <v>54</v>
      </c>
      <c r="J45" s="10">
        <v>0</v>
      </c>
      <c r="K45" s="10">
        <v>11</v>
      </c>
      <c r="L45" s="10">
        <v>5</v>
      </c>
      <c r="M45" s="10">
        <v>13</v>
      </c>
      <c r="N45" s="10">
        <v>4</v>
      </c>
      <c r="O45" s="8">
        <v>20</v>
      </c>
      <c r="P45" s="8">
        <v>5</v>
      </c>
      <c r="Q45" s="9">
        <v>63</v>
      </c>
      <c r="R45" s="9">
        <v>2</v>
      </c>
      <c r="S45" s="8">
        <v>4</v>
      </c>
      <c r="T45" s="8">
        <v>5</v>
      </c>
      <c r="U45" s="8">
        <v>8</v>
      </c>
      <c r="V45" s="8">
        <v>16</v>
      </c>
      <c r="W45" s="7">
        <f t="shared" si="6"/>
        <v>35</v>
      </c>
      <c r="X45" s="7">
        <f t="shared" si="7"/>
        <v>15</v>
      </c>
      <c r="Y45" s="7">
        <f t="shared" si="8"/>
        <v>21</v>
      </c>
      <c r="Z45" s="7">
        <f t="shared" si="9"/>
        <v>20</v>
      </c>
      <c r="AA45" s="6">
        <f t="shared" si="10"/>
        <v>0.5714285714285714</v>
      </c>
    </row>
    <row r="46" spans="1:27" s="1" customFormat="1" ht="26.4" x14ac:dyDescent="0.25">
      <c r="A46" s="9"/>
      <c r="B46" s="14" t="s">
        <v>70</v>
      </c>
      <c r="C46" s="10">
        <v>242</v>
      </c>
      <c r="D46" s="10">
        <v>1157933</v>
      </c>
      <c r="E46" s="12" t="s">
        <v>54</v>
      </c>
      <c r="F46" s="11" t="s">
        <v>24</v>
      </c>
      <c r="G46" s="10">
        <v>36</v>
      </c>
      <c r="H46" s="10">
        <v>10</v>
      </c>
      <c r="I46" s="10">
        <v>68</v>
      </c>
      <c r="J46" s="10">
        <v>0</v>
      </c>
      <c r="K46" s="10">
        <v>9</v>
      </c>
      <c r="L46" s="10">
        <v>6</v>
      </c>
      <c r="M46" s="10">
        <v>13</v>
      </c>
      <c r="N46" s="10">
        <v>31</v>
      </c>
      <c r="O46" s="8">
        <v>4</v>
      </c>
      <c r="P46" s="8">
        <v>5</v>
      </c>
      <c r="Q46" s="9">
        <v>65</v>
      </c>
      <c r="R46" s="9">
        <v>13</v>
      </c>
      <c r="S46" s="8">
        <v>2</v>
      </c>
      <c r="T46" s="8">
        <v>4</v>
      </c>
      <c r="U46" s="8">
        <v>3</v>
      </c>
      <c r="V46" s="8">
        <v>3</v>
      </c>
      <c r="W46" s="7">
        <f t="shared" si="6"/>
        <v>40</v>
      </c>
      <c r="X46" s="7">
        <f t="shared" si="7"/>
        <v>11</v>
      </c>
      <c r="Y46" s="7">
        <f t="shared" si="8"/>
        <v>16</v>
      </c>
      <c r="Z46" s="7">
        <f t="shared" si="9"/>
        <v>34</v>
      </c>
      <c r="AA46" s="6">
        <f t="shared" si="10"/>
        <v>0.85</v>
      </c>
    </row>
    <row r="47" spans="1:27" s="1" customFormat="1" x14ac:dyDescent="0.25">
      <c r="A47" s="9"/>
      <c r="B47" s="14" t="s">
        <v>70</v>
      </c>
      <c r="C47" s="10">
        <v>243</v>
      </c>
      <c r="D47" s="10">
        <v>83970</v>
      </c>
      <c r="E47" s="12" t="s">
        <v>56</v>
      </c>
      <c r="F47" s="11" t="s">
        <v>28</v>
      </c>
      <c r="G47" s="10">
        <v>35</v>
      </c>
      <c r="H47" s="10">
        <v>10</v>
      </c>
      <c r="I47" s="10">
        <v>19</v>
      </c>
      <c r="J47" s="10">
        <v>0</v>
      </c>
      <c r="K47" s="10">
        <v>12</v>
      </c>
      <c r="L47" s="10">
        <v>10</v>
      </c>
      <c r="M47" s="10">
        <v>12</v>
      </c>
      <c r="N47" s="10">
        <v>23</v>
      </c>
      <c r="O47" s="8">
        <v>5</v>
      </c>
      <c r="P47" s="8">
        <v>5</v>
      </c>
      <c r="Q47" s="9">
        <v>70</v>
      </c>
      <c r="R47" s="9">
        <v>5</v>
      </c>
      <c r="S47" s="8">
        <v>1</v>
      </c>
      <c r="T47" s="8">
        <v>4</v>
      </c>
      <c r="U47" s="8">
        <v>1</v>
      </c>
      <c r="V47" s="8">
        <v>5</v>
      </c>
      <c r="W47" s="7">
        <f t="shared" si="6"/>
        <v>40</v>
      </c>
      <c r="X47" s="7">
        <f t="shared" si="7"/>
        <v>13</v>
      </c>
      <c r="Y47" s="7">
        <f t="shared" si="8"/>
        <v>13</v>
      </c>
      <c r="Z47" s="7">
        <f t="shared" si="9"/>
        <v>28</v>
      </c>
      <c r="AA47" s="6">
        <f t="shared" si="10"/>
        <v>0.7</v>
      </c>
    </row>
    <row r="48" spans="1:27" s="1" customFormat="1" x14ac:dyDescent="0.25">
      <c r="A48" s="9"/>
      <c r="B48" s="14" t="s">
        <v>70</v>
      </c>
      <c r="C48" s="10">
        <v>244</v>
      </c>
      <c r="D48" s="10">
        <v>83968</v>
      </c>
      <c r="E48" s="12" t="s">
        <v>45</v>
      </c>
      <c r="F48" s="11" t="s">
        <v>30</v>
      </c>
      <c r="G48" s="10">
        <v>32</v>
      </c>
      <c r="H48" s="10">
        <v>10</v>
      </c>
      <c r="I48" s="10">
        <v>46</v>
      </c>
      <c r="J48" s="10">
        <v>0</v>
      </c>
      <c r="K48" s="10">
        <v>11</v>
      </c>
      <c r="L48" s="10">
        <v>9</v>
      </c>
      <c r="M48" s="10">
        <v>13</v>
      </c>
      <c r="N48" s="10">
        <v>22</v>
      </c>
      <c r="O48" s="8">
        <v>8</v>
      </c>
      <c r="P48" s="8">
        <v>5</v>
      </c>
      <c r="Q48" s="9">
        <v>51</v>
      </c>
      <c r="R48" s="9">
        <v>14</v>
      </c>
      <c r="S48" s="8">
        <v>1</v>
      </c>
      <c r="T48" s="8">
        <v>5</v>
      </c>
      <c r="U48" s="8">
        <v>2</v>
      </c>
      <c r="V48" s="8">
        <v>7</v>
      </c>
      <c r="W48" s="7">
        <f t="shared" si="6"/>
        <v>40</v>
      </c>
      <c r="X48" s="7">
        <f t="shared" si="7"/>
        <v>12</v>
      </c>
      <c r="Y48" s="7">
        <f t="shared" si="8"/>
        <v>15</v>
      </c>
      <c r="Z48" s="7">
        <f t="shared" si="9"/>
        <v>29</v>
      </c>
      <c r="AA48" s="6">
        <f t="shared" si="10"/>
        <v>0.72499999999999998</v>
      </c>
    </row>
    <row r="49" spans="1:27" s="1" customFormat="1" ht="26.4" x14ac:dyDescent="0.25">
      <c r="A49" s="9"/>
      <c r="B49" s="14" t="s">
        <v>70</v>
      </c>
      <c r="C49" s="10">
        <v>245</v>
      </c>
      <c r="D49" s="10">
        <v>83052</v>
      </c>
      <c r="E49" s="12" t="s">
        <v>31</v>
      </c>
      <c r="F49" s="11" t="s">
        <v>30</v>
      </c>
      <c r="G49" s="10">
        <v>19</v>
      </c>
      <c r="H49" s="10">
        <v>5</v>
      </c>
      <c r="I49" s="10">
        <v>31</v>
      </c>
      <c r="J49" s="10">
        <v>0</v>
      </c>
      <c r="K49" s="10">
        <v>7</v>
      </c>
      <c r="L49" s="10">
        <v>4</v>
      </c>
      <c r="M49" s="10">
        <v>12</v>
      </c>
      <c r="N49" s="10">
        <v>13</v>
      </c>
      <c r="O49" s="8">
        <v>6</v>
      </c>
      <c r="P49" s="8">
        <v>5</v>
      </c>
      <c r="Q49" s="9">
        <v>48</v>
      </c>
      <c r="R49" s="9">
        <v>5</v>
      </c>
      <c r="S49" s="8">
        <v>1</v>
      </c>
      <c r="T49" s="8">
        <v>4</v>
      </c>
      <c r="U49" s="8">
        <v>1</v>
      </c>
      <c r="V49" s="8">
        <v>6</v>
      </c>
      <c r="W49" s="7">
        <f t="shared" si="6"/>
        <v>25</v>
      </c>
      <c r="X49" s="7">
        <f t="shared" si="7"/>
        <v>8</v>
      </c>
      <c r="Y49" s="7">
        <f t="shared" si="8"/>
        <v>13</v>
      </c>
      <c r="Z49" s="7">
        <f t="shared" si="9"/>
        <v>19</v>
      </c>
      <c r="AA49" s="6">
        <f t="shared" si="10"/>
        <v>0.76</v>
      </c>
    </row>
    <row r="50" spans="1:27" s="1" customFormat="1" ht="26.4" x14ac:dyDescent="0.25">
      <c r="A50" s="9"/>
      <c r="B50" s="14" t="s">
        <v>70</v>
      </c>
      <c r="C50" s="10">
        <v>246</v>
      </c>
      <c r="D50" s="10">
        <v>83051</v>
      </c>
      <c r="E50" s="12" t="s">
        <v>32</v>
      </c>
      <c r="F50" s="11" t="s">
        <v>28</v>
      </c>
      <c r="G50" s="10">
        <v>25</v>
      </c>
      <c r="H50" s="10">
        <v>5</v>
      </c>
      <c r="I50" s="10">
        <v>52</v>
      </c>
      <c r="J50" s="10">
        <v>0</v>
      </c>
      <c r="K50" s="10">
        <v>0</v>
      </c>
      <c r="L50" s="10">
        <v>5</v>
      </c>
      <c r="M50" s="10">
        <v>3</v>
      </c>
      <c r="N50" s="10">
        <v>25</v>
      </c>
      <c r="O50" s="8">
        <v>5</v>
      </c>
      <c r="P50" s="8">
        <v>5</v>
      </c>
      <c r="Q50" s="9">
        <v>80</v>
      </c>
      <c r="R50" s="9">
        <v>10</v>
      </c>
      <c r="S50" s="8">
        <v>1</v>
      </c>
      <c r="T50" s="8">
        <v>5</v>
      </c>
      <c r="U50" s="8">
        <v>2</v>
      </c>
      <c r="V50" s="8">
        <v>4</v>
      </c>
      <c r="W50" s="7">
        <f t="shared" si="6"/>
        <v>30</v>
      </c>
      <c r="X50" s="7">
        <f t="shared" si="7"/>
        <v>1</v>
      </c>
      <c r="Y50" s="7">
        <f t="shared" si="8"/>
        <v>5</v>
      </c>
      <c r="Z50" s="7">
        <f t="shared" si="9"/>
        <v>29</v>
      </c>
      <c r="AA50" s="6">
        <f t="shared" si="10"/>
        <v>0.96666666666666667</v>
      </c>
    </row>
    <row r="51" spans="1:27" s="1" customFormat="1" ht="26.4" x14ac:dyDescent="0.25">
      <c r="A51" s="9"/>
      <c r="B51" s="14" t="s">
        <v>68</v>
      </c>
      <c r="C51" s="10">
        <v>261</v>
      </c>
      <c r="D51" s="10">
        <v>20580</v>
      </c>
      <c r="E51" s="12" t="s">
        <v>8</v>
      </c>
      <c r="F51" s="11" t="s">
        <v>28</v>
      </c>
      <c r="G51" s="10">
        <v>30</v>
      </c>
      <c r="H51" s="10">
        <v>10</v>
      </c>
      <c r="I51" s="10">
        <v>62</v>
      </c>
      <c r="J51" s="10">
        <v>0</v>
      </c>
      <c r="K51" s="10">
        <v>8</v>
      </c>
      <c r="L51" s="10">
        <v>9</v>
      </c>
      <c r="M51" s="10">
        <v>14</v>
      </c>
      <c r="N51" s="10">
        <v>23</v>
      </c>
      <c r="O51" s="8">
        <v>20</v>
      </c>
      <c r="P51" s="8">
        <v>5</v>
      </c>
      <c r="Q51" s="9">
        <v>174</v>
      </c>
      <c r="R51" s="9">
        <v>8</v>
      </c>
      <c r="S51" s="8">
        <v>8</v>
      </c>
      <c r="T51" s="8">
        <v>5</v>
      </c>
      <c r="U51" s="8">
        <v>11</v>
      </c>
      <c r="V51" s="8">
        <v>12</v>
      </c>
      <c r="W51" s="7">
        <f t="shared" si="6"/>
        <v>50</v>
      </c>
      <c r="X51" s="7">
        <f t="shared" si="7"/>
        <v>16</v>
      </c>
      <c r="Y51" s="7">
        <f t="shared" si="8"/>
        <v>25</v>
      </c>
      <c r="Z51" s="7">
        <f t="shared" si="9"/>
        <v>35</v>
      </c>
      <c r="AA51" s="6">
        <f t="shared" si="10"/>
        <v>0.7</v>
      </c>
    </row>
    <row r="52" spans="1:27" s="1" customFormat="1" ht="26.4" x14ac:dyDescent="0.25">
      <c r="A52" s="9"/>
      <c r="B52" s="14" t="s">
        <v>68</v>
      </c>
      <c r="C52" s="10">
        <v>262</v>
      </c>
      <c r="D52" s="10">
        <v>83972</v>
      </c>
      <c r="E52" s="12" t="s">
        <v>56</v>
      </c>
      <c r="F52" s="11" t="s">
        <v>30</v>
      </c>
      <c r="G52" s="10">
        <v>20</v>
      </c>
      <c r="H52" s="10">
        <v>5</v>
      </c>
      <c r="I52" s="10">
        <v>0</v>
      </c>
      <c r="J52" s="10">
        <v>0</v>
      </c>
      <c r="K52" s="10">
        <v>13</v>
      </c>
      <c r="L52" s="10">
        <v>5</v>
      </c>
      <c r="M52" s="10">
        <v>6</v>
      </c>
      <c r="N52" s="10">
        <v>7</v>
      </c>
      <c r="O52" s="8">
        <v>20</v>
      </c>
      <c r="P52" s="8">
        <v>5</v>
      </c>
      <c r="Q52" s="9">
        <v>77</v>
      </c>
      <c r="R52" s="9">
        <v>4</v>
      </c>
      <c r="S52" s="8">
        <v>4</v>
      </c>
      <c r="T52" s="8">
        <v>4</v>
      </c>
      <c r="U52" s="8">
        <v>5</v>
      </c>
      <c r="V52" s="8">
        <v>17</v>
      </c>
      <c r="W52" s="7">
        <f t="shared" si="6"/>
        <v>40</v>
      </c>
      <c r="X52" s="7">
        <f t="shared" si="7"/>
        <v>17</v>
      </c>
      <c r="Y52" s="7">
        <f t="shared" si="8"/>
        <v>11</v>
      </c>
      <c r="Z52" s="7">
        <f t="shared" si="9"/>
        <v>24</v>
      </c>
      <c r="AA52" s="6">
        <f t="shared" si="10"/>
        <v>0.6</v>
      </c>
    </row>
    <row r="53" spans="1:27" s="1" customFormat="1" ht="26.4" x14ac:dyDescent="0.25">
      <c r="A53" s="9"/>
      <c r="B53" s="14" t="s">
        <v>68</v>
      </c>
      <c r="C53" s="10">
        <v>263</v>
      </c>
      <c r="D53" s="10">
        <v>83974</v>
      </c>
      <c r="E53" s="12" t="s">
        <v>45</v>
      </c>
      <c r="F53" s="11" t="s">
        <v>30</v>
      </c>
      <c r="G53" s="10">
        <v>30</v>
      </c>
      <c r="H53" s="10">
        <v>10</v>
      </c>
      <c r="I53" s="10">
        <v>2</v>
      </c>
      <c r="J53" s="10">
        <v>0</v>
      </c>
      <c r="K53" s="10">
        <v>17</v>
      </c>
      <c r="L53" s="10">
        <v>10</v>
      </c>
      <c r="M53" s="10">
        <v>21</v>
      </c>
      <c r="N53" s="10">
        <v>13</v>
      </c>
      <c r="O53" s="8">
        <v>10</v>
      </c>
      <c r="P53" s="8">
        <v>5</v>
      </c>
      <c r="Q53" s="9">
        <v>53</v>
      </c>
      <c r="R53" s="9">
        <v>3</v>
      </c>
      <c r="S53" s="8">
        <v>1</v>
      </c>
      <c r="T53" s="8">
        <v>4</v>
      </c>
      <c r="U53" s="8">
        <v>1</v>
      </c>
      <c r="V53" s="8">
        <v>10</v>
      </c>
      <c r="W53" s="7">
        <f t="shared" si="6"/>
        <v>40</v>
      </c>
      <c r="X53" s="7">
        <f t="shared" si="7"/>
        <v>18</v>
      </c>
      <c r="Y53" s="7">
        <f t="shared" si="8"/>
        <v>22</v>
      </c>
      <c r="Z53" s="7">
        <f t="shared" si="9"/>
        <v>23</v>
      </c>
      <c r="AA53" s="6">
        <f t="shared" si="10"/>
        <v>0.57499999999999996</v>
      </c>
    </row>
    <row r="54" spans="1:27" s="1" customFormat="1" ht="26.4" x14ac:dyDescent="0.25">
      <c r="A54" s="9"/>
      <c r="B54" s="14" t="s">
        <v>68</v>
      </c>
      <c r="C54" s="10">
        <v>264</v>
      </c>
      <c r="D54" s="10">
        <v>83011</v>
      </c>
      <c r="E54" s="12" t="s">
        <v>69</v>
      </c>
      <c r="F54" s="11" t="s">
        <v>28</v>
      </c>
      <c r="G54" s="10">
        <v>15</v>
      </c>
      <c r="H54" s="10">
        <v>5</v>
      </c>
      <c r="I54" s="10">
        <v>1</v>
      </c>
      <c r="J54" s="10">
        <v>0</v>
      </c>
      <c r="K54" s="10">
        <v>10</v>
      </c>
      <c r="L54" s="10">
        <v>5</v>
      </c>
      <c r="M54" s="10">
        <v>11</v>
      </c>
      <c r="N54" s="10">
        <v>5</v>
      </c>
      <c r="O54" s="8">
        <v>15</v>
      </c>
      <c r="P54" s="8">
        <v>5</v>
      </c>
      <c r="Q54" s="9">
        <v>64</v>
      </c>
      <c r="R54" s="9">
        <v>1</v>
      </c>
      <c r="S54" s="8">
        <v>2</v>
      </c>
      <c r="T54" s="8">
        <v>5</v>
      </c>
      <c r="U54" s="8">
        <v>3</v>
      </c>
      <c r="V54" s="8">
        <v>13</v>
      </c>
      <c r="W54" s="7">
        <f t="shared" si="6"/>
        <v>30</v>
      </c>
      <c r="X54" s="7">
        <f t="shared" si="7"/>
        <v>12</v>
      </c>
      <c r="Y54" s="7">
        <f t="shared" si="8"/>
        <v>14</v>
      </c>
      <c r="Z54" s="7">
        <f t="shared" si="9"/>
        <v>18</v>
      </c>
      <c r="AA54" s="6">
        <f t="shared" si="10"/>
        <v>0.6</v>
      </c>
    </row>
    <row r="55" spans="1:27" s="1" customFormat="1" ht="26.4" x14ac:dyDescent="0.25">
      <c r="A55" s="9"/>
      <c r="B55" s="14" t="s">
        <v>68</v>
      </c>
      <c r="C55" s="10">
        <v>265</v>
      </c>
      <c r="D55" s="10">
        <v>83005</v>
      </c>
      <c r="E55" s="12" t="s">
        <v>31</v>
      </c>
      <c r="F55" s="11" t="s">
        <v>21</v>
      </c>
      <c r="G55" s="10">
        <v>20</v>
      </c>
      <c r="H55" s="10">
        <v>5</v>
      </c>
      <c r="I55" s="10">
        <v>0</v>
      </c>
      <c r="J55" s="10">
        <v>0</v>
      </c>
      <c r="K55" s="10">
        <v>14</v>
      </c>
      <c r="L55" s="10">
        <v>5</v>
      </c>
      <c r="M55" s="10">
        <v>0</v>
      </c>
      <c r="N55" s="10">
        <v>6</v>
      </c>
      <c r="O55" s="8">
        <v>10</v>
      </c>
      <c r="P55" s="8">
        <v>5</v>
      </c>
      <c r="Q55" s="9">
        <v>36</v>
      </c>
      <c r="R55" s="9">
        <v>6</v>
      </c>
      <c r="S55" s="8">
        <v>3</v>
      </c>
      <c r="T55" s="8">
        <v>4</v>
      </c>
      <c r="U55" s="8">
        <v>6</v>
      </c>
      <c r="V55" s="8">
        <v>8</v>
      </c>
      <c r="W55" s="7">
        <f t="shared" si="6"/>
        <v>30</v>
      </c>
      <c r="X55" s="7">
        <f t="shared" si="7"/>
        <v>17</v>
      </c>
      <c r="Y55" s="7">
        <f t="shared" si="8"/>
        <v>6</v>
      </c>
      <c r="Z55" s="7">
        <f t="shared" si="9"/>
        <v>14</v>
      </c>
      <c r="AA55" s="6">
        <f t="shared" si="10"/>
        <v>0.46666666666666667</v>
      </c>
    </row>
    <row r="56" spans="1:27" s="1" customFormat="1" ht="26.4" x14ac:dyDescent="0.25">
      <c r="A56" s="9"/>
      <c r="B56" s="14" t="s">
        <v>68</v>
      </c>
      <c r="C56" s="10">
        <v>266</v>
      </c>
      <c r="D56" s="10">
        <v>82894</v>
      </c>
      <c r="E56" s="12" t="s">
        <v>32</v>
      </c>
      <c r="F56" s="11" t="s">
        <v>21</v>
      </c>
      <c r="G56" s="10">
        <v>20</v>
      </c>
      <c r="H56" s="10">
        <v>5</v>
      </c>
      <c r="I56" s="10">
        <v>1</v>
      </c>
      <c r="J56" s="10">
        <v>0</v>
      </c>
      <c r="K56" s="10">
        <v>13</v>
      </c>
      <c r="L56" s="10">
        <v>5</v>
      </c>
      <c r="M56" s="10">
        <v>16</v>
      </c>
      <c r="N56" s="10">
        <v>7</v>
      </c>
      <c r="O56" s="8">
        <v>10</v>
      </c>
      <c r="P56" s="8">
        <v>5</v>
      </c>
      <c r="Q56" s="9">
        <v>45</v>
      </c>
      <c r="R56" s="9">
        <v>4</v>
      </c>
      <c r="S56" s="8">
        <v>3</v>
      </c>
      <c r="T56" s="8">
        <v>5</v>
      </c>
      <c r="U56" s="8">
        <v>4</v>
      </c>
      <c r="V56" s="8">
        <v>7</v>
      </c>
      <c r="W56" s="7">
        <f t="shared" si="6"/>
        <v>30</v>
      </c>
      <c r="X56" s="7">
        <f t="shared" si="7"/>
        <v>16</v>
      </c>
      <c r="Y56" s="7">
        <f t="shared" si="8"/>
        <v>20</v>
      </c>
      <c r="Z56" s="7">
        <f t="shared" si="9"/>
        <v>14</v>
      </c>
      <c r="AA56" s="6">
        <f t="shared" si="10"/>
        <v>0.46666666666666667</v>
      </c>
    </row>
    <row r="57" spans="1:27" s="1" customFormat="1" x14ac:dyDescent="0.25">
      <c r="A57" s="9"/>
      <c r="B57" s="14" t="s">
        <v>67</v>
      </c>
      <c r="C57" s="10">
        <v>281</v>
      </c>
      <c r="D57" s="10">
        <v>91671</v>
      </c>
      <c r="E57" s="12" t="s">
        <v>59</v>
      </c>
      <c r="F57" s="11" t="s">
        <v>21</v>
      </c>
      <c r="G57" s="10">
        <v>25</v>
      </c>
      <c r="H57" s="10">
        <v>5</v>
      </c>
      <c r="I57" s="10">
        <v>26</v>
      </c>
      <c r="J57" s="10">
        <v>0</v>
      </c>
      <c r="K57" s="10">
        <v>9</v>
      </c>
      <c r="L57" s="10">
        <v>5</v>
      </c>
      <c r="M57" s="10">
        <v>12</v>
      </c>
      <c r="N57" s="10">
        <v>16</v>
      </c>
      <c r="O57" s="8">
        <v>15</v>
      </c>
      <c r="P57" s="8">
        <v>5</v>
      </c>
      <c r="Q57" s="9">
        <v>76</v>
      </c>
      <c r="R57" s="9">
        <v>3</v>
      </c>
      <c r="S57" s="8">
        <v>4</v>
      </c>
      <c r="T57" s="8">
        <v>5</v>
      </c>
      <c r="U57" s="8">
        <v>5</v>
      </c>
      <c r="V57" s="8">
        <v>11</v>
      </c>
      <c r="W57" s="7">
        <f t="shared" si="6"/>
        <v>40</v>
      </c>
      <c r="X57" s="7">
        <f t="shared" si="7"/>
        <v>13</v>
      </c>
      <c r="Y57" s="7">
        <f t="shared" si="8"/>
        <v>17</v>
      </c>
      <c r="Z57" s="7">
        <f t="shared" si="9"/>
        <v>27</v>
      </c>
      <c r="AA57" s="6">
        <f t="shared" si="10"/>
        <v>0.67500000000000004</v>
      </c>
    </row>
    <row r="58" spans="1:27" s="1" customFormat="1" x14ac:dyDescent="0.25">
      <c r="A58" s="9"/>
      <c r="B58" s="14" t="s">
        <v>67</v>
      </c>
      <c r="C58" s="10">
        <v>282</v>
      </c>
      <c r="D58" s="10">
        <v>83962</v>
      </c>
      <c r="E58" s="12" t="s">
        <v>56</v>
      </c>
      <c r="F58" s="11" t="s">
        <v>30</v>
      </c>
      <c r="G58" s="10">
        <v>25</v>
      </c>
      <c r="H58" s="10">
        <v>5</v>
      </c>
      <c r="I58" s="10">
        <v>0</v>
      </c>
      <c r="J58" s="10">
        <v>0</v>
      </c>
      <c r="K58" s="10">
        <v>16</v>
      </c>
      <c r="L58" s="10">
        <v>5</v>
      </c>
      <c r="M58" s="10">
        <v>15</v>
      </c>
      <c r="N58" s="10">
        <v>9</v>
      </c>
      <c r="O58" s="8">
        <v>15</v>
      </c>
      <c r="P58" s="8">
        <v>5</v>
      </c>
      <c r="Q58" s="9">
        <v>71</v>
      </c>
      <c r="R58" s="9">
        <v>2</v>
      </c>
      <c r="S58" s="8">
        <v>1</v>
      </c>
      <c r="T58" s="8">
        <v>5</v>
      </c>
      <c r="U58" s="8">
        <v>2</v>
      </c>
      <c r="V58" s="8">
        <v>14</v>
      </c>
      <c r="W58" s="7">
        <f t="shared" si="6"/>
        <v>40</v>
      </c>
      <c r="X58" s="7">
        <f t="shared" si="7"/>
        <v>17</v>
      </c>
      <c r="Y58" s="7">
        <f t="shared" si="8"/>
        <v>17</v>
      </c>
      <c r="Z58" s="7">
        <f t="shared" si="9"/>
        <v>23</v>
      </c>
      <c r="AA58" s="6">
        <f t="shared" si="10"/>
        <v>0.57499999999999996</v>
      </c>
    </row>
    <row r="59" spans="1:27" s="1" customFormat="1" x14ac:dyDescent="0.25">
      <c r="A59" s="9"/>
      <c r="B59" s="14" t="s">
        <v>67</v>
      </c>
      <c r="C59" s="10">
        <v>283</v>
      </c>
      <c r="D59" s="10">
        <v>84856</v>
      </c>
      <c r="E59" s="12" t="s">
        <v>45</v>
      </c>
      <c r="F59" s="11" t="s">
        <v>28</v>
      </c>
      <c r="G59" s="10">
        <v>25</v>
      </c>
      <c r="H59" s="10">
        <v>5</v>
      </c>
      <c r="I59" s="10">
        <v>11</v>
      </c>
      <c r="J59" s="10">
        <v>0</v>
      </c>
      <c r="K59" s="10">
        <v>12</v>
      </c>
      <c r="L59" s="10">
        <v>4</v>
      </c>
      <c r="M59" s="10">
        <v>13</v>
      </c>
      <c r="N59" s="10">
        <v>14</v>
      </c>
      <c r="O59" s="8">
        <v>15</v>
      </c>
      <c r="P59" s="8">
        <v>5</v>
      </c>
      <c r="Q59" s="9">
        <v>74</v>
      </c>
      <c r="R59" s="9">
        <v>5</v>
      </c>
      <c r="S59" s="8">
        <v>4</v>
      </c>
      <c r="T59" s="8">
        <v>5</v>
      </c>
      <c r="U59" s="8">
        <v>7</v>
      </c>
      <c r="V59" s="8">
        <v>11</v>
      </c>
      <c r="W59" s="7">
        <f t="shared" si="6"/>
        <v>40</v>
      </c>
      <c r="X59" s="7">
        <f t="shared" si="7"/>
        <v>16</v>
      </c>
      <c r="Y59" s="7">
        <f t="shared" si="8"/>
        <v>20</v>
      </c>
      <c r="Z59" s="7">
        <f t="shared" si="9"/>
        <v>25</v>
      </c>
      <c r="AA59" s="6">
        <f t="shared" si="10"/>
        <v>0.625</v>
      </c>
    </row>
    <row r="60" spans="1:27" s="1" customFormat="1" ht="26.4" x14ac:dyDescent="0.25">
      <c r="A60" s="9"/>
      <c r="B60" s="14" t="s">
        <v>67</v>
      </c>
      <c r="C60" s="10">
        <v>284</v>
      </c>
      <c r="D60" s="10">
        <v>83210</v>
      </c>
      <c r="E60" s="12" t="s">
        <v>31</v>
      </c>
      <c r="F60" s="11" t="s">
        <v>28</v>
      </c>
      <c r="G60" s="10">
        <v>20</v>
      </c>
      <c r="H60" s="10">
        <v>5</v>
      </c>
      <c r="I60" s="10">
        <v>0</v>
      </c>
      <c r="J60" s="10">
        <v>0</v>
      </c>
      <c r="K60" s="10">
        <v>13</v>
      </c>
      <c r="L60" s="10">
        <v>5</v>
      </c>
      <c r="M60" s="10">
        <v>4</v>
      </c>
      <c r="N60" s="10">
        <v>7</v>
      </c>
      <c r="O60" s="8">
        <v>10</v>
      </c>
      <c r="P60" s="8">
        <v>5</v>
      </c>
      <c r="Q60" s="9">
        <v>42</v>
      </c>
      <c r="R60" s="9">
        <v>1</v>
      </c>
      <c r="S60" s="8">
        <v>2</v>
      </c>
      <c r="T60" s="8">
        <v>5</v>
      </c>
      <c r="U60" s="8">
        <v>2</v>
      </c>
      <c r="V60" s="8">
        <v>8</v>
      </c>
      <c r="W60" s="7">
        <f t="shared" si="6"/>
        <v>30</v>
      </c>
      <c r="X60" s="7">
        <f t="shared" si="7"/>
        <v>15</v>
      </c>
      <c r="Y60" s="7">
        <f t="shared" si="8"/>
        <v>6</v>
      </c>
      <c r="Z60" s="7">
        <f t="shared" si="9"/>
        <v>15</v>
      </c>
      <c r="AA60" s="6">
        <f t="shared" si="10"/>
        <v>0.5</v>
      </c>
    </row>
    <row r="61" spans="1:27" s="1" customFormat="1" ht="26.4" x14ac:dyDescent="0.25">
      <c r="A61" s="9"/>
      <c r="B61" s="14" t="s">
        <v>67</v>
      </c>
      <c r="C61" s="10">
        <v>285</v>
      </c>
      <c r="D61" s="10">
        <v>83199</v>
      </c>
      <c r="E61" s="12" t="s">
        <v>32</v>
      </c>
      <c r="F61" s="11" t="s">
        <v>30</v>
      </c>
      <c r="G61" s="10">
        <v>25</v>
      </c>
      <c r="H61" s="10">
        <v>5</v>
      </c>
      <c r="I61" s="10">
        <v>3</v>
      </c>
      <c r="J61" s="10">
        <v>0</v>
      </c>
      <c r="K61" s="10">
        <v>11</v>
      </c>
      <c r="L61" s="10">
        <v>5</v>
      </c>
      <c r="M61" s="10">
        <v>12</v>
      </c>
      <c r="N61" s="10">
        <v>14</v>
      </c>
      <c r="O61" s="8">
        <v>15</v>
      </c>
      <c r="P61" s="8">
        <v>5</v>
      </c>
      <c r="Q61" s="9">
        <v>67</v>
      </c>
      <c r="R61" s="9">
        <v>1</v>
      </c>
      <c r="S61" s="8">
        <v>5</v>
      </c>
      <c r="T61" s="8">
        <v>5</v>
      </c>
      <c r="U61" s="8">
        <v>6</v>
      </c>
      <c r="V61" s="8">
        <v>10</v>
      </c>
      <c r="W61" s="7">
        <f t="shared" si="6"/>
        <v>40</v>
      </c>
      <c r="X61" s="7">
        <f t="shared" si="7"/>
        <v>16</v>
      </c>
      <c r="Y61" s="7">
        <f t="shared" si="8"/>
        <v>18</v>
      </c>
      <c r="Z61" s="7">
        <f t="shared" si="9"/>
        <v>24</v>
      </c>
      <c r="AA61" s="6">
        <f t="shared" si="10"/>
        <v>0.6</v>
      </c>
    </row>
    <row r="62" spans="1:27" s="1" customFormat="1" x14ac:dyDescent="0.25">
      <c r="A62" s="9"/>
      <c r="B62" s="14" t="s">
        <v>67</v>
      </c>
      <c r="C62" s="10">
        <v>286</v>
      </c>
      <c r="D62" s="10">
        <v>83302</v>
      </c>
      <c r="E62" s="12" t="s">
        <v>58</v>
      </c>
      <c r="F62" s="11" t="s">
        <v>28</v>
      </c>
      <c r="G62" s="10">
        <v>25</v>
      </c>
      <c r="H62" s="10">
        <v>5</v>
      </c>
      <c r="I62" s="10">
        <v>1</v>
      </c>
      <c r="J62" s="10">
        <v>0</v>
      </c>
      <c r="K62" s="10">
        <v>16</v>
      </c>
      <c r="L62" s="10">
        <v>5</v>
      </c>
      <c r="M62" s="10">
        <v>18</v>
      </c>
      <c r="N62" s="10">
        <v>9</v>
      </c>
      <c r="O62" s="8">
        <v>15</v>
      </c>
      <c r="P62" s="8">
        <v>5</v>
      </c>
      <c r="Q62" s="9">
        <v>44</v>
      </c>
      <c r="R62" s="9">
        <v>4</v>
      </c>
      <c r="S62" s="8">
        <v>1</v>
      </c>
      <c r="T62" s="8">
        <v>5</v>
      </c>
      <c r="U62" s="8">
        <v>4</v>
      </c>
      <c r="V62" s="8">
        <v>14</v>
      </c>
      <c r="W62" s="7">
        <f t="shared" si="6"/>
        <v>40</v>
      </c>
      <c r="X62" s="7">
        <f t="shared" si="7"/>
        <v>17</v>
      </c>
      <c r="Y62" s="7">
        <f t="shared" si="8"/>
        <v>22</v>
      </c>
      <c r="Z62" s="7">
        <f t="shared" si="9"/>
        <v>23</v>
      </c>
      <c r="AA62" s="6">
        <f t="shared" si="10"/>
        <v>0.57499999999999996</v>
      </c>
    </row>
    <row r="63" spans="1:27" s="1" customFormat="1" ht="26.4" x14ac:dyDescent="0.25">
      <c r="A63" s="9"/>
      <c r="B63" s="14" t="s">
        <v>65</v>
      </c>
      <c r="C63" s="10">
        <v>301</v>
      </c>
      <c r="D63" s="10">
        <v>1615797</v>
      </c>
      <c r="E63" s="12" t="s">
        <v>66</v>
      </c>
      <c r="F63" s="11" t="s">
        <v>24</v>
      </c>
      <c r="G63" s="10">
        <v>24</v>
      </c>
      <c r="H63" s="10">
        <v>5</v>
      </c>
      <c r="I63" s="10">
        <v>31</v>
      </c>
      <c r="J63" s="10">
        <v>0</v>
      </c>
      <c r="K63" s="10">
        <v>13</v>
      </c>
      <c r="L63" s="10">
        <v>5</v>
      </c>
      <c r="M63" s="10">
        <v>15</v>
      </c>
      <c r="N63" s="10">
        <v>11</v>
      </c>
      <c r="O63" s="8">
        <v>6</v>
      </c>
      <c r="P63" s="8">
        <v>5</v>
      </c>
      <c r="Q63" s="9">
        <v>34</v>
      </c>
      <c r="R63" s="9">
        <v>6</v>
      </c>
      <c r="S63" s="8">
        <v>0</v>
      </c>
      <c r="T63" s="8">
        <v>5</v>
      </c>
      <c r="U63" s="8">
        <v>2</v>
      </c>
      <c r="V63" s="8">
        <v>6</v>
      </c>
      <c r="W63" s="7">
        <f t="shared" si="6"/>
        <v>30</v>
      </c>
      <c r="X63" s="7">
        <f t="shared" si="7"/>
        <v>13</v>
      </c>
      <c r="Y63" s="7">
        <f t="shared" si="8"/>
        <v>17</v>
      </c>
      <c r="Z63" s="7">
        <f t="shared" si="9"/>
        <v>17</v>
      </c>
      <c r="AA63" s="6">
        <f t="shared" si="10"/>
        <v>0.56666666666666665</v>
      </c>
    </row>
    <row r="64" spans="1:27" s="1" customFormat="1" ht="26.4" x14ac:dyDescent="0.25">
      <c r="A64" s="9"/>
      <c r="B64" s="14" t="s">
        <v>65</v>
      </c>
      <c r="C64" s="10">
        <v>302</v>
      </c>
      <c r="D64" s="10">
        <v>83316</v>
      </c>
      <c r="E64" s="12" t="s">
        <v>59</v>
      </c>
      <c r="F64" s="11" t="s">
        <v>21</v>
      </c>
      <c r="G64" s="10">
        <v>24</v>
      </c>
      <c r="H64" s="10">
        <v>5</v>
      </c>
      <c r="I64" s="10">
        <v>26</v>
      </c>
      <c r="J64" s="10">
        <v>4</v>
      </c>
      <c r="K64" s="10">
        <v>14</v>
      </c>
      <c r="L64" s="10">
        <v>1</v>
      </c>
      <c r="M64" s="10">
        <v>17</v>
      </c>
      <c r="N64" s="10">
        <v>14</v>
      </c>
      <c r="O64" s="8">
        <v>6</v>
      </c>
      <c r="P64" s="8">
        <v>5</v>
      </c>
      <c r="Q64" s="9">
        <v>30</v>
      </c>
      <c r="R64" s="9">
        <v>5</v>
      </c>
      <c r="S64" s="8">
        <v>0</v>
      </c>
      <c r="T64" s="8">
        <v>5</v>
      </c>
      <c r="U64" s="8">
        <v>0</v>
      </c>
      <c r="V64" s="8">
        <v>6</v>
      </c>
      <c r="W64" s="7">
        <f t="shared" si="6"/>
        <v>30</v>
      </c>
      <c r="X64" s="7">
        <f t="shared" si="7"/>
        <v>14</v>
      </c>
      <c r="Y64" s="7">
        <f t="shared" si="8"/>
        <v>17</v>
      </c>
      <c r="Z64" s="7">
        <f t="shared" si="9"/>
        <v>20</v>
      </c>
      <c r="AA64" s="6">
        <f t="shared" si="10"/>
        <v>0.66666666666666663</v>
      </c>
    </row>
    <row r="65" spans="1:27" s="1" customFormat="1" ht="26.4" x14ac:dyDescent="0.25">
      <c r="A65" s="9"/>
      <c r="B65" s="14" t="s">
        <v>65</v>
      </c>
      <c r="C65" s="10">
        <v>303</v>
      </c>
      <c r="D65" s="10">
        <v>91535</v>
      </c>
      <c r="E65" s="12" t="s">
        <v>42</v>
      </c>
      <c r="F65" s="11" t="s">
        <v>28</v>
      </c>
      <c r="G65" s="10">
        <v>45</v>
      </c>
      <c r="H65" s="10">
        <v>10</v>
      </c>
      <c r="I65" s="10">
        <v>35</v>
      </c>
      <c r="J65" s="10">
        <v>0</v>
      </c>
      <c r="K65" s="10">
        <v>7</v>
      </c>
      <c r="L65" s="10">
        <v>5</v>
      </c>
      <c r="M65" s="10">
        <v>16</v>
      </c>
      <c r="N65" s="10">
        <v>43</v>
      </c>
      <c r="O65" s="8">
        <v>5</v>
      </c>
      <c r="P65" s="8">
        <v>5</v>
      </c>
      <c r="Q65" s="9">
        <v>58</v>
      </c>
      <c r="R65" s="9">
        <v>13</v>
      </c>
      <c r="S65" s="8">
        <v>1</v>
      </c>
      <c r="T65" s="8">
        <v>3</v>
      </c>
      <c r="U65" s="8">
        <v>1</v>
      </c>
      <c r="V65" s="8">
        <v>6</v>
      </c>
      <c r="W65" s="7">
        <f t="shared" si="6"/>
        <v>50</v>
      </c>
      <c r="X65" s="7">
        <f t="shared" si="7"/>
        <v>8</v>
      </c>
      <c r="Y65" s="7">
        <f t="shared" si="8"/>
        <v>17</v>
      </c>
      <c r="Z65" s="7">
        <f t="shared" si="9"/>
        <v>49</v>
      </c>
      <c r="AA65" s="6">
        <f t="shared" si="10"/>
        <v>0.98</v>
      </c>
    </row>
    <row r="66" spans="1:27" s="1" customFormat="1" ht="26.4" x14ac:dyDescent="0.25">
      <c r="A66" s="9"/>
      <c r="B66" s="14" t="s">
        <v>65</v>
      </c>
      <c r="C66" s="10">
        <v>304</v>
      </c>
      <c r="D66" s="10">
        <v>112478</v>
      </c>
      <c r="E66" s="12" t="s">
        <v>53</v>
      </c>
      <c r="F66" s="11" t="s">
        <v>24</v>
      </c>
      <c r="G66" s="10">
        <v>24</v>
      </c>
      <c r="H66" s="10">
        <v>5</v>
      </c>
      <c r="I66" s="10">
        <v>184</v>
      </c>
      <c r="J66" s="10">
        <v>10</v>
      </c>
      <c r="K66" s="10">
        <v>5</v>
      </c>
      <c r="L66" s="10">
        <v>2</v>
      </c>
      <c r="M66" s="10">
        <v>12</v>
      </c>
      <c r="N66" s="10">
        <v>22</v>
      </c>
      <c r="O66" s="8">
        <v>6</v>
      </c>
      <c r="P66" s="8">
        <v>5</v>
      </c>
      <c r="Q66" s="9">
        <v>164</v>
      </c>
      <c r="R66" s="9">
        <v>27</v>
      </c>
      <c r="S66" s="8">
        <v>2</v>
      </c>
      <c r="T66" s="8">
        <v>4</v>
      </c>
      <c r="U66" s="8">
        <v>4</v>
      </c>
      <c r="V66" s="8">
        <v>5</v>
      </c>
      <c r="W66" s="7">
        <f t="shared" si="6"/>
        <v>30</v>
      </c>
      <c r="X66" s="7">
        <f t="shared" si="7"/>
        <v>7</v>
      </c>
      <c r="Y66" s="7">
        <f t="shared" si="8"/>
        <v>16</v>
      </c>
      <c r="Z66" s="7">
        <f t="shared" si="9"/>
        <v>27</v>
      </c>
      <c r="AA66" s="6">
        <f t="shared" si="10"/>
        <v>0.9</v>
      </c>
    </row>
    <row r="67" spans="1:27" s="1" customFormat="1" ht="26.4" x14ac:dyDescent="0.25">
      <c r="A67" s="9"/>
      <c r="B67" s="14" t="s">
        <v>65</v>
      </c>
      <c r="C67" s="10">
        <v>305</v>
      </c>
      <c r="D67" s="10">
        <v>83312</v>
      </c>
      <c r="E67" s="12" t="s">
        <v>58</v>
      </c>
      <c r="F67" s="11" t="s">
        <v>21</v>
      </c>
      <c r="G67" s="10">
        <v>30</v>
      </c>
      <c r="H67" s="10">
        <v>10</v>
      </c>
      <c r="I67" s="10">
        <v>0</v>
      </c>
      <c r="J67" s="10">
        <v>0</v>
      </c>
      <c r="K67" s="10">
        <v>24</v>
      </c>
      <c r="L67" s="10">
        <v>10</v>
      </c>
      <c r="M67" s="10">
        <v>1</v>
      </c>
      <c r="N67" s="10">
        <v>6</v>
      </c>
      <c r="O67" s="8">
        <v>10</v>
      </c>
      <c r="P67" s="8">
        <v>5</v>
      </c>
      <c r="Q67" s="9">
        <v>32</v>
      </c>
      <c r="R67" s="9">
        <v>6</v>
      </c>
      <c r="S67" s="8">
        <v>3</v>
      </c>
      <c r="T67" s="8">
        <v>3</v>
      </c>
      <c r="U67" s="8">
        <v>3</v>
      </c>
      <c r="V67" s="8">
        <v>9</v>
      </c>
      <c r="W67" s="7">
        <f t="shared" si="6"/>
        <v>40</v>
      </c>
      <c r="X67" s="7">
        <f t="shared" si="7"/>
        <v>27</v>
      </c>
      <c r="Y67" s="7">
        <f t="shared" si="8"/>
        <v>4</v>
      </c>
      <c r="Z67" s="7">
        <f t="shared" si="9"/>
        <v>15</v>
      </c>
      <c r="AA67" s="6">
        <f t="shared" si="10"/>
        <v>0.375</v>
      </c>
    </row>
    <row r="68" spans="1:27" s="1" customFormat="1" ht="26.4" x14ac:dyDescent="0.25">
      <c r="A68" s="9"/>
      <c r="B68" s="14" t="s">
        <v>65</v>
      </c>
      <c r="C68" s="10">
        <v>307</v>
      </c>
      <c r="D68" s="10">
        <v>1420512</v>
      </c>
      <c r="E68" s="12" t="s">
        <v>64</v>
      </c>
      <c r="F68" s="11" t="s">
        <v>30</v>
      </c>
      <c r="G68" s="10">
        <v>24</v>
      </c>
      <c r="H68" s="10">
        <v>5</v>
      </c>
      <c r="I68" s="10">
        <v>0</v>
      </c>
      <c r="J68" s="10">
        <v>0</v>
      </c>
      <c r="K68" s="10">
        <v>17</v>
      </c>
      <c r="L68" s="10">
        <v>2</v>
      </c>
      <c r="M68" s="10">
        <v>0</v>
      </c>
      <c r="N68" s="10">
        <v>10</v>
      </c>
      <c r="O68" s="8">
        <v>6</v>
      </c>
      <c r="P68" s="8">
        <v>5</v>
      </c>
      <c r="Q68" s="9">
        <v>33</v>
      </c>
      <c r="R68" s="9">
        <v>4</v>
      </c>
      <c r="S68" s="8">
        <v>5</v>
      </c>
      <c r="T68" s="8">
        <v>5</v>
      </c>
      <c r="U68" s="8">
        <v>5</v>
      </c>
      <c r="V68" s="8">
        <v>1</v>
      </c>
      <c r="W68" s="7">
        <f t="shared" si="6"/>
        <v>30</v>
      </c>
      <c r="X68" s="7">
        <f t="shared" si="7"/>
        <v>22</v>
      </c>
      <c r="Y68" s="7">
        <f t="shared" si="8"/>
        <v>5</v>
      </c>
      <c r="Z68" s="7">
        <f t="shared" si="9"/>
        <v>11</v>
      </c>
      <c r="AA68" s="6">
        <f t="shared" si="10"/>
        <v>0.36666666666666664</v>
      </c>
    </row>
    <row r="69" spans="1:27" s="1" customFormat="1" ht="26.4" x14ac:dyDescent="0.25">
      <c r="A69" s="9"/>
      <c r="B69" s="14" t="s">
        <v>62</v>
      </c>
      <c r="C69" s="10">
        <v>321</v>
      </c>
      <c r="D69" s="10">
        <v>1270445</v>
      </c>
      <c r="E69" s="12" t="s">
        <v>63</v>
      </c>
      <c r="F69" s="11" t="s">
        <v>21</v>
      </c>
      <c r="G69" s="10">
        <v>10</v>
      </c>
      <c r="H69" s="10">
        <v>5</v>
      </c>
      <c r="I69" s="10">
        <v>24</v>
      </c>
      <c r="J69" s="10">
        <v>0</v>
      </c>
      <c r="K69" s="10">
        <v>3</v>
      </c>
      <c r="L69" s="10">
        <v>5</v>
      </c>
      <c r="M69" s="10">
        <v>5</v>
      </c>
      <c r="N69" s="10">
        <v>7</v>
      </c>
      <c r="O69" s="8">
        <v>30</v>
      </c>
      <c r="P69" s="8">
        <v>10</v>
      </c>
      <c r="Q69" s="9">
        <v>70</v>
      </c>
      <c r="R69" s="9">
        <v>12</v>
      </c>
      <c r="S69" s="8">
        <v>24</v>
      </c>
      <c r="T69" s="8">
        <v>8</v>
      </c>
      <c r="U69" s="8">
        <v>12</v>
      </c>
      <c r="V69" s="8">
        <v>8</v>
      </c>
      <c r="W69" s="7">
        <f t="shared" si="6"/>
        <v>40</v>
      </c>
      <c r="X69" s="7">
        <f t="shared" si="7"/>
        <v>27</v>
      </c>
      <c r="Y69" s="7">
        <f t="shared" si="8"/>
        <v>17</v>
      </c>
      <c r="Z69" s="7">
        <f t="shared" si="9"/>
        <v>15</v>
      </c>
      <c r="AA69" s="6">
        <f t="shared" si="10"/>
        <v>0.375</v>
      </c>
    </row>
    <row r="70" spans="1:27" s="1" customFormat="1" ht="26.4" x14ac:dyDescent="0.25">
      <c r="A70" s="9"/>
      <c r="B70" s="14" t="s">
        <v>62</v>
      </c>
      <c r="C70" s="10">
        <v>322</v>
      </c>
      <c r="D70" s="10">
        <v>83328</v>
      </c>
      <c r="E70" s="12" t="s">
        <v>59</v>
      </c>
      <c r="F70" s="11" t="s">
        <v>28</v>
      </c>
      <c r="G70" s="10">
        <v>20</v>
      </c>
      <c r="H70" s="10">
        <v>5</v>
      </c>
      <c r="I70" s="10">
        <v>98</v>
      </c>
      <c r="J70" s="10">
        <v>0</v>
      </c>
      <c r="K70" s="10">
        <v>3</v>
      </c>
      <c r="L70" s="10">
        <v>2</v>
      </c>
      <c r="M70" s="10">
        <v>8</v>
      </c>
      <c r="N70" s="10">
        <v>20</v>
      </c>
      <c r="O70" s="8">
        <v>20</v>
      </c>
      <c r="P70" s="8">
        <v>5</v>
      </c>
      <c r="Q70" s="9">
        <v>103</v>
      </c>
      <c r="R70" s="9">
        <v>11</v>
      </c>
      <c r="S70" s="8">
        <v>2</v>
      </c>
      <c r="T70" s="8">
        <v>3</v>
      </c>
      <c r="U70" s="8">
        <v>7</v>
      </c>
      <c r="V70" s="8">
        <v>20</v>
      </c>
      <c r="W70" s="7">
        <f t="shared" si="6"/>
        <v>40</v>
      </c>
      <c r="X70" s="7">
        <f t="shared" si="7"/>
        <v>5</v>
      </c>
      <c r="Y70" s="7">
        <f t="shared" si="8"/>
        <v>15</v>
      </c>
      <c r="Z70" s="7">
        <f t="shared" si="9"/>
        <v>40</v>
      </c>
      <c r="AA70" s="6">
        <f t="shared" si="10"/>
        <v>1</v>
      </c>
    </row>
    <row r="71" spans="1:27" s="1" customFormat="1" ht="26.4" x14ac:dyDescent="0.25">
      <c r="A71" s="9"/>
      <c r="B71" s="14" t="s">
        <v>62</v>
      </c>
      <c r="C71" s="10">
        <v>323</v>
      </c>
      <c r="D71" s="10">
        <v>91692</v>
      </c>
      <c r="E71" s="12" t="s">
        <v>40</v>
      </c>
      <c r="F71" s="11" t="s">
        <v>21</v>
      </c>
      <c r="G71" s="10">
        <v>40</v>
      </c>
      <c r="H71" s="10">
        <v>10</v>
      </c>
      <c r="I71" s="10">
        <v>248</v>
      </c>
      <c r="J71" s="10">
        <v>2</v>
      </c>
      <c r="K71" s="10">
        <v>7</v>
      </c>
      <c r="L71" s="10">
        <v>0</v>
      </c>
      <c r="M71" s="10">
        <v>22</v>
      </c>
      <c r="N71" s="10">
        <v>43</v>
      </c>
      <c r="O71" s="8">
        <v>10</v>
      </c>
      <c r="P71" s="8">
        <v>5</v>
      </c>
      <c r="Q71" s="9">
        <v>203</v>
      </c>
      <c r="R71" s="9">
        <v>29</v>
      </c>
      <c r="S71" s="8">
        <v>2</v>
      </c>
      <c r="T71" s="8">
        <v>2</v>
      </c>
      <c r="U71" s="8">
        <v>5</v>
      </c>
      <c r="V71" s="8">
        <v>11</v>
      </c>
      <c r="W71" s="7">
        <f t="shared" ref="W71:W102" si="11">G71+O71</f>
        <v>50</v>
      </c>
      <c r="X71" s="7">
        <f t="shared" ref="X71:X102" si="12">K71+S71</f>
        <v>9</v>
      </c>
      <c r="Y71" s="7">
        <f t="shared" ref="Y71:Y102" si="13">M71+U71</f>
        <v>27</v>
      </c>
      <c r="Z71" s="7">
        <f t="shared" ref="Z71:Z102" si="14">N71+V71</f>
        <v>54</v>
      </c>
      <c r="AA71" s="6">
        <f t="shared" si="10"/>
        <v>1.08</v>
      </c>
    </row>
    <row r="72" spans="1:27" s="1" customFormat="1" ht="26.4" x14ac:dyDescent="0.25">
      <c r="A72" s="9"/>
      <c r="B72" s="14" t="s">
        <v>62</v>
      </c>
      <c r="C72" s="10">
        <v>324</v>
      </c>
      <c r="D72" s="10">
        <v>20581</v>
      </c>
      <c r="E72" s="12" t="s">
        <v>27</v>
      </c>
      <c r="F72" s="11" t="s">
        <v>30</v>
      </c>
      <c r="G72" s="10">
        <v>15</v>
      </c>
      <c r="H72" s="10">
        <v>5</v>
      </c>
      <c r="I72" s="10">
        <v>0</v>
      </c>
      <c r="J72" s="10">
        <v>0</v>
      </c>
      <c r="K72" s="10">
        <v>11</v>
      </c>
      <c r="L72" s="10">
        <v>5</v>
      </c>
      <c r="M72" s="10">
        <v>11</v>
      </c>
      <c r="N72" s="10">
        <v>4</v>
      </c>
      <c r="O72" s="8">
        <v>15</v>
      </c>
      <c r="P72" s="8">
        <v>5</v>
      </c>
      <c r="Q72" s="9">
        <v>43</v>
      </c>
      <c r="R72" s="9">
        <v>8</v>
      </c>
      <c r="S72" s="8">
        <v>13</v>
      </c>
      <c r="T72" s="8">
        <v>4</v>
      </c>
      <c r="U72" s="8">
        <v>14</v>
      </c>
      <c r="V72" s="8">
        <v>3</v>
      </c>
      <c r="W72" s="7">
        <f t="shared" si="11"/>
        <v>30</v>
      </c>
      <c r="X72" s="7">
        <f t="shared" si="12"/>
        <v>24</v>
      </c>
      <c r="Y72" s="7">
        <f t="shared" si="13"/>
        <v>25</v>
      </c>
      <c r="Z72" s="7">
        <f t="shared" si="14"/>
        <v>7</v>
      </c>
      <c r="AA72" s="6">
        <f t="shared" si="10"/>
        <v>0.23333333333333334</v>
      </c>
    </row>
    <row r="73" spans="1:27" s="1" customFormat="1" ht="26.4" x14ac:dyDescent="0.25">
      <c r="A73" s="9"/>
      <c r="B73" s="14" t="s">
        <v>62</v>
      </c>
      <c r="C73" s="10">
        <v>325</v>
      </c>
      <c r="D73" s="10">
        <v>83318</v>
      </c>
      <c r="E73" s="12" t="s">
        <v>58</v>
      </c>
      <c r="F73" s="11" t="s">
        <v>28</v>
      </c>
      <c r="G73" s="10">
        <v>20</v>
      </c>
      <c r="H73" s="10">
        <v>5</v>
      </c>
      <c r="I73" s="10">
        <v>21</v>
      </c>
      <c r="J73" s="10">
        <v>0</v>
      </c>
      <c r="K73" s="10">
        <v>13</v>
      </c>
      <c r="L73" s="10">
        <v>3</v>
      </c>
      <c r="M73" s="10">
        <v>13</v>
      </c>
      <c r="N73" s="10">
        <v>9</v>
      </c>
      <c r="O73" s="8">
        <v>30</v>
      </c>
      <c r="P73" s="8">
        <v>10</v>
      </c>
      <c r="Q73" s="9">
        <v>80</v>
      </c>
      <c r="R73" s="9">
        <v>15</v>
      </c>
      <c r="S73" s="8">
        <v>5</v>
      </c>
      <c r="T73" s="8">
        <v>6</v>
      </c>
      <c r="U73" s="8">
        <v>11</v>
      </c>
      <c r="V73" s="8">
        <v>29</v>
      </c>
      <c r="W73" s="7">
        <f t="shared" si="11"/>
        <v>50</v>
      </c>
      <c r="X73" s="7">
        <f t="shared" si="12"/>
        <v>18</v>
      </c>
      <c r="Y73" s="7">
        <f t="shared" si="13"/>
        <v>24</v>
      </c>
      <c r="Z73" s="7">
        <f t="shared" si="14"/>
        <v>38</v>
      </c>
      <c r="AA73" s="6">
        <f t="shared" si="10"/>
        <v>0.76</v>
      </c>
    </row>
    <row r="74" spans="1:27" s="1" customFormat="1" ht="26.4" x14ac:dyDescent="0.25">
      <c r="A74" s="9"/>
      <c r="B74" s="14" t="s">
        <v>62</v>
      </c>
      <c r="C74" s="10">
        <v>326</v>
      </c>
      <c r="D74" s="10">
        <v>83358</v>
      </c>
      <c r="E74" s="12" t="s">
        <v>22</v>
      </c>
      <c r="F74" s="11" t="s">
        <v>28</v>
      </c>
      <c r="G74" s="10">
        <v>25</v>
      </c>
      <c r="H74" s="10">
        <v>5</v>
      </c>
      <c r="I74" s="10">
        <v>131</v>
      </c>
      <c r="J74" s="10">
        <v>5</v>
      </c>
      <c r="K74" s="10">
        <v>4</v>
      </c>
      <c r="L74" s="10">
        <v>1</v>
      </c>
      <c r="M74" s="10">
        <v>10</v>
      </c>
      <c r="N74" s="10">
        <v>25</v>
      </c>
      <c r="O74" s="8">
        <v>25</v>
      </c>
      <c r="P74" s="8">
        <v>10</v>
      </c>
      <c r="Q74" s="9">
        <v>193</v>
      </c>
      <c r="R74" s="9">
        <v>22</v>
      </c>
      <c r="S74" s="8">
        <v>7</v>
      </c>
      <c r="T74" s="8">
        <v>6</v>
      </c>
      <c r="U74" s="8">
        <v>12</v>
      </c>
      <c r="V74" s="8">
        <v>22</v>
      </c>
      <c r="W74" s="7">
        <f t="shared" si="11"/>
        <v>50</v>
      </c>
      <c r="X74" s="7">
        <f t="shared" si="12"/>
        <v>11</v>
      </c>
      <c r="Y74" s="7">
        <f t="shared" si="13"/>
        <v>22</v>
      </c>
      <c r="Z74" s="7">
        <f t="shared" si="14"/>
        <v>47</v>
      </c>
      <c r="AA74" s="6">
        <f t="shared" ref="AA74:AA105" si="15">Z74/W74</f>
        <v>0.94</v>
      </c>
    </row>
    <row r="75" spans="1:27" s="1" customFormat="1" x14ac:dyDescent="0.25">
      <c r="A75" s="9"/>
      <c r="B75" s="14" t="s">
        <v>60</v>
      </c>
      <c r="C75" s="10">
        <v>341</v>
      </c>
      <c r="D75" s="10">
        <v>92385</v>
      </c>
      <c r="E75" s="12" t="s">
        <v>59</v>
      </c>
      <c r="F75" s="11" t="s">
        <v>21</v>
      </c>
      <c r="G75" s="10">
        <v>10</v>
      </c>
      <c r="H75" s="10">
        <v>5</v>
      </c>
      <c r="I75" s="10">
        <v>41</v>
      </c>
      <c r="J75" s="10">
        <v>0</v>
      </c>
      <c r="K75" s="10">
        <v>8</v>
      </c>
      <c r="L75" s="10">
        <v>5</v>
      </c>
      <c r="M75" s="10">
        <v>9</v>
      </c>
      <c r="N75" s="10">
        <v>2</v>
      </c>
      <c r="O75" s="8">
        <v>30</v>
      </c>
      <c r="P75" s="8">
        <v>10</v>
      </c>
      <c r="Q75" s="9">
        <v>96</v>
      </c>
      <c r="R75" s="9">
        <v>6</v>
      </c>
      <c r="S75" s="8">
        <v>3</v>
      </c>
      <c r="T75" s="8">
        <v>9</v>
      </c>
      <c r="U75" s="8">
        <v>8</v>
      </c>
      <c r="V75" s="8">
        <v>28</v>
      </c>
      <c r="W75" s="7">
        <f t="shared" si="11"/>
        <v>40</v>
      </c>
      <c r="X75" s="7">
        <f t="shared" si="12"/>
        <v>11</v>
      </c>
      <c r="Y75" s="7">
        <f t="shared" si="13"/>
        <v>17</v>
      </c>
      <c r="Z75" s="7">
        <f t="shared" si="14"/>
        <v>30</v>
      </c>
      <c r="AA75" s="6">
        <f t="shared" si="15"/>
        <v>0.75</v>
      </c>
    </row>
    <row r="76" spans="1:27" s="1" customFormat="1" x14ac:dyDescent="0.25">
      <c r="A76" s="9"/>
      <c r="B76" s="14" t="s">
        <v>60</v>
      </c>
      <c r="C76" s="10">
        <v>342</v>
      </c>
      <c r="D76" s="10">
        <v>2471</v>
      </c>
      <c r="E76" s="12" t="s">
        <v>42</v>
      </c>
      <c r="F76" s="11" t="s">
        <v>28</v>
      </c>
      <c r="G76" s="10">
        <v>45</v>
      </c>
      <c r="H76" s="10">
        <v>10</v>
      </c>
      <c r="I76" s="10">
        <v>30</v>
      </c>
      <c r="J76" s="10">
        <v>0</v>
      </c>
      <c r="K76" s="10">
        <v>9</v>
      </c>
      <c r="L76" s="10">
        <v>10</v>
      </c>
      <c r="M76" s="10">
        <v>9</v>
      </c>
      <c r="N76" s="10">
        <v>36</v>
      </c>
      <c r="O76" s="8">
        <v>5</v>
      </c>
      <c r="P76" s="8">
        <v>5</v>
      </c>
      <c r="Q76" s="9">
        <v>111</v>
      </c>
      <c r="R76" s="9">
        <v>9</v>
      </c>
      <c r="S76" s="8">
        <v>1</v>
      </c>
      <c r="T76" s="8">
        <v>5</v>
      </c>
      <c r="U76" s="8">
        <v>2</v>
      </c>
      <c r="V76" s="8">
        <v>4</v>
      </c>
      <c r="W76" s="7">
        <f t="shared" si="11"/>
        <v>50</v>
      </c>
      <c r="X76" s="7">
        <f t="shared" si="12"/>
        <v>10</v>
      </c>
      <c r="Y76" s="7">
        <f t="shared" si="13"/>
        <v>11</v>
      </c>
      <c r="Z76" s="7">
        <f t="shared" si="14"/>
        <v>40</v>
      </c>
      <c r="AA76" s="6">
        <f t="shared" si="15"/>
        <v>0.8</v>
      </c>
    </row>
    <row r="77" spans="1:27" s="1" customFormat="1" ht="26.4" x14ac:dyDescent="0.25">
      <c r="A77" s="9"/>
      <c r="B77" s="14" t="s">
        <v>60</v>
      </c>
      <c r="C77" s="10">
        <v>343</v>
      </c>
      <c r="D77" s="10">
        <v>20579</v>
      </c>
      <c r="E77" s="12" t="s">
        <v>35</v>
      </c>
      <c r="F77" s="11" t="s">
        <v>24</v>
      </c>
      <c r="G77" s="10">
        <v>25</v>
      </c>
      <c r="H77" s="10">
        <v>5</v>
      </c>
      <c r="I77" s="10">
        <v>147</v>
      </c>
      <c r="J77" s="10">
        <v>0</v>
      </c>
      <c r="K77" s="10">
        <v>8</v>
      </c>
      <c r="L77" s="10">
        <v>5</v>
      </c>
      <c r="M77" s="10">
        <v>11</v>
      </c>
      <c r="N77" s="10">
        <v>17</v>
      </c>
      <c r="O77" s="8">
        <v>15</v>
      </c>
      <c r="P77" s="8">
        <v>5</v>
      </c>
      <c r="Q77" s="9">
        <v>164</v>
      </c>
      <c r="R77" s="9">
        <v>11</v>
      </c>
      <c r="S77" s="8">
        <v>4</v>
      </c>
      <c r="T77" s="8">
        <v>2</v>
      </c>
      <c r="U77" s="8">
        <v>5</v>
      </c>
      <c r="V77" s="8">
        <v>14</v>
      </c>
      <c r="W77" s="7">
        <f t="shared" si="11"/>
        <v>40</v>
      </c>
      <c r="X77" s="7">
        <f t="shared" si="12"/>
        <v>12</v>
      </c>
      <c r="Y77" s="7">
        <f t="shared" si="13"/>
        <v>16</v>
      </c>
      <c r="Z77" s="7">
        <f t="shared" si="14"/>
        <v>31</v>
      </c>
      <c r="AA77" s="6">
        <f t="shared" si="15"/>
        <v>0.77500000000000002</v>
      </c>
    </row>
    <row r="78" spans="1:27" s="1" customFormat="1" ht="26.4" x14ac:dyDescent="0.25">
      <c r="A78" s="9"/>
      <c r="B78" s="14" t="s">
        <v>60</v>
      </c>
      <c r="C78" s="10">
        <v>344</v>
      </c>
      <c r="D78" s="10">
        <v>83231</v>
      </c>
      <c r="E78" s="12" t="s">
        <v>32</v>
      </c>
      <c r="F78" s="11" t="s">
        <v>30</v>
      </c>
      <c r="G78" s="10">
        <v>10</v>
      </c>
      <c r="H78" s="10">
        <v>5</v>
      </c>
      <c r="I78" s="10">
        <v>2</v>
      </c>
      <c r="J78" s="10">
        <v>0</v>
      </c>
      <c r="K78" s="10">
        <v>8</v>
      </c>
      <c r="L78" s="10">
        <v>5</v>
      </c>
      <c r="M78" s="10">
        <v>8</v>
      </c>
      <c r="N78" s="10">
        <v>2</v>
      </c>
      <c r="O78" s="8">
        <v>30</v>
      </c>
      <c r="P78" s="8">
        <v>10</v>
      </c>
      <c r="Q78" s="9">
        <v>80</v>
      </c>
      <c r="R78" s="9">
        <v>5</v>
      </c>
      <c r="S78" s="8">
        <v>8</v>
      </c>
      <c r="T78" s="8">
        <v>10</v>
      </c>
      <c r="U78" s="8">
        <v>9</v>
      </c>
      <c r="V78" s="8">
        <v>23</v>
      </c>
      <c r="W78" s="7">
        <f t="shared" si="11"/>
        <v>40</v>
      </c>
      <c r="X78" s="7">
        <f t="shared" si="12"/>
        <v>16</v>
      </c>
      <c r="Y78" s="7">
        <f t="shared" si="13"/>
        <v>17</v>
      </c>
      <c r="Z78" s="7">
        <f t="shared" si="14"/>
        <v>25</v>
      </c>
      <c r="AA78" s="6">
        <f t="shared" si="15"/>
        <v>0.625</v>
      </c>
    </row>
    <row r="79" spans="1:27" s="1" customFormat="1" x14ac:dyDescent="0.25">
      <c r="A79" s="9"/>
      <c r="B79" s="14" t="s">
        <v>60</v>
      </c>
      <c r="C79" s="10">
        <v>345</v>
      </c>
      <c r="D79" s="10">
        <v>92391</v>
      </c>
      <c r="E79" s="12" t="s">
        <v>58</v>
      </c>
      <c r="F79" s="11" t="s">
        <v>28</v>
      </c>
      <c r="G79" s="10">
        <v>10</v>
      </c>
      <c r="H79" s="10">
        <v>5</v>
      </c>
      <c r="I79" s="10">
        <v>10</v>
      </c>
      <c r="J79" s="10">
        <v>0</v>
      </c>
      <c r="K79" s="10">
        <v>6</v>
      </c>
      <c r="L79" s="10">
        <v>5</v>
      </c>
      <c r="M79" s="10">
        <v>6</v>
      </c>
      <c r="N79" s="10">
        <v>4</v>
      </c>
      <c r="O79" s="8">
        <v>30</v>
      </c>
      <c r="P79" s="8">
        <v>10</v>
      </c>
      <c r="Q79" s="9">
        <v>67</v>
      </c>
      <c r="R79" s="9">
        <v>2</v>
      </c>
      <c r="S79" s="8">
        <v>14</v>
      </c>
      <c r="T79" s="8">
        <v>10</v>
      </c>
      <c r="U79" s="8">
        <v>13</v>
      </c>
      <c r="V79" s="8">
        <v>16</v>
      </c>
      <c r="W79" s="7">
        <f t="shared" si="11"/>
        <v>40</v>
      </c>
      <c r="X79" s="7">
        <f t="shared" si="12"/>
        <v>20</v>
      </c>
      <c r="Y79" s="7">
        <f t="shared" si="13"/>
        <v>19</v>
      </c>
      <c r="Z79" s="7">
        <f t="shared" si="14"/>
        <v>20</v>
      </c>
      <c r="AA79" s="6">
        <f t="shared" si="15"/>
        <v>0.5</v>
      </c>
    </row>
    <row r="80" spans="1:27" x14ac:dyDescent="0.25">
      <c r="A80" s="9"/>
      <c r="B80" s="14" t="s">
        <v>60</v>
      </c>
      <c r="C80" s="10">
        <v>346</v>
      </c>
      <c r="D80" s="10">
        <v>1376432</v>
      </c>
      <c r="E80" s="12" t="s">
        <v>61</v>
      </c>
      <c r="F80" s="11" t="s">
        <v>24</v>
      </c>
      <c r="G80" s="10">
        <v>20</v>
      </c>
      <c r="H80" s="10">
        <v>5</v>
      </c>
      <c r="I80" s="10">
        <v>360</v>
      </c>
      <c r="J80" s="10">
        <v>0</v>
      </c>
      <c r="K80" s="10">
        <v>14</v>
      </c>
      <c r="L80" s="10">
        <v>3</v>
      </c>
      <c r="M80" s="10">
        <v>19</v>
      </c>
      <c r="N80" s="10">
        <v>8</v>
      </c>
      <c r="O80" s="8">
        <v>20</v>
      </c>
      <c r="P80" s="8">
        <v>5</v>
      </c>
      <c r="Q80" s="9">
        <v>261</v>
      </c>
      <c r="R80" s="9">
        <v>17</v>
      </c>
      <c r="S80" s="8">
        <v>9</v>
      </c>
      <c r="T80" s="8">
        <v>3</v>
      </c>
      <c r="U80" s="8">
        <v>15</v>
      </c>
      <c r="V80" s="8">
        <v>13</v>
      </c>
      <c r="W80" s="7">
        <f t="shared" si="11"/>
        <v>40</v>
      </c>
      <c r="X80" s="7">
        <f t="shared" si="12"/>
        <v>23</v>
      </c>
      <c r="Y80" s="7">
        <f t="shared" si="13"/>
        <v>34</v>
      </c>
      <c r="Z80" s="7">
        <f t="shared" si="14"/>
        <v>21</v>
      </c>
      <c r="AA80" s="6">
        <f t="shared" si="15"/>
        <v>0.52500000000000002</v>
      </c>
    </row>
    <row r="81" spans="1:27" x14ac:dyDescent="0.25">
      <c r="A81" s="9"/>
      <c r="B81" s="14" t="s">
        <v>60</v>
      </c>
      <c r="C81" s="10">
        <v>347</v>
      </c>
      <c r="D81" s="10">
        <v>83390</v>
      </c>
      <c r="E81" s="12" t="s">
        <v>22</v>
      </c>
      <c r="F81" s="11" t="s">
        <v>28</v>
      </c>
      <c r="G81" s="10">
        <v>20</v>
      </c>
      <c r="H81" s="10">
        <v>5</v>
      </c>
      <c r="I81" s="10">
        <v>17</v>
      </c>
      <c r="J81" s="10">
        <v>0</v>
      </c>
      <c r="K81" s="10">
        <v>2</v>
      </c>
      <c r="L81" s="10">
        <v>4</v>
      </c>
      <c r="M81" s="10">
        <v>2</v>
      </c>
      <c r="N81" s="10">
        <v>19</v>
      </c>
      <c r="O81" s="8">
        <v>20</v>
      </c>
      <c r="P81" s="8">
        <v>5</v>
      </c>
      <c r="Q81" s="9">
        <v>168</v>
      </c>
      <c r="R81" s="9">
        <v>8</v>
      </c>
      <c r="S81" s="8">
        <v>11</v>
      </c>
      <c r="T81" s="8">
        <v>3</v>
      </c>
      <c r="U81" s="8">
        <v>14</v>
      </c>
      <c r="V81" s="8">
        <v>11</v>
      </c>
      <c r="W81" s="7">
        <f t="shared" si="11"/>
        <v>40</v>
      </c>
      <c r="X81" s="7">
        <f t="shared" si="12"/>
        <v>13</v>
      </c>
      <c r="Y81" s="7">
        <f t="shared" si="13"/>
        <v>16</v>
      </c>
      <c r="Z81" s="7">
        <f t="shared" si="14"/>
        <v>30</v>
      </c>
      <c r="AA81" s="6">
        <f t="shared" si="15"/>
        <v>0.75</v>
      </c>
    </row>
    <row r="82" spans="1:27" x14ac:dyDescent="0.25">
      <c r="A82" s="9"/>
      <c r="B82" s="14" t="s">
        <v>60</v>
      </c>
      <c r="C82" s="10">
        <v>348</v>
      </c>
      <c r="D82" s="10">
        <v>83390</v>
      </c>
      <c r="E82" s="12" t="s">
        <v>22</v>
      </c>
      <c r="F82" s="11" t="s">
        <v>30</v>
      </c>
      <c r="G82" s="10">
        <v>20</v>
      </c>
      <c r="H82" s="10">
        <v>5</v>
      </c>
      <c r="I82" s="10">
        <v>0</v>
      </c>
      <c r="J82" s="10">
        <v>0</v>
      </c>
      <c r="K82" s="10">
        <v>15</v>
      </c>
      <c r="L82" s="10">
        <v>5</v>
      </c>
      <c r="M82" s="10">
        <v>0</v>
      </c>
      <c r="N82" s="10">
        <v>5</v>
      </c>
      <c r="O82" s="8">
        <v>20</v>
      </c>
      <c r="P82" s="8">
        <v>5</v>
      </c>
      <c r="Q82" s="9">
        <v>104</v>
      </c>
      <c r="R82" s="9">
        <v>7</v>
      </c>
      <c r="S82" s="8">
        <v>14</v>
      </c>
      <c r="T82" s="8">
        <v>5</v>
      </c>
      <c r="U82" s="8">
        <v>16</v>
      </c>
      <c r="V82" s="8">
        <v>6</v>
      </c>
      <c r="W82" s="7">
        <f t="shared" si="11"/>
        <v>40</v>
      </c>
      <c r="X82" s="7">
        <f t="shared" si="12"/>
        <v>29</v>
      </c>
      <c r="Y82" s="7">
        <f t="shared" si="13"/>
        <v>16</v>
      </c>
      <c r="Z82" s="7">
        <f t="shared" si="14"/>
        <v>11</v>
      </c>
      <c r="AA82" s="6">
        <f t="shared" si="15"/>
        <v>0.27500000000000002</v>
      </c>
    </row>
    <row r="83" spans="1:27" ht="26.4" x14ac:dyDescent="0.25">
      <c r="A83" s="9"/>
      <c r="B83" s="14" t="s">
        <v>57</v>
      </c>
      <c r="C83" s="10">
        <v>361</v>
      </c>
      <c r="D83" s="10">
        <v>83332</v>
      </c>
      <c r="E83" s="12" t="s">
        <v>59</v>
      </c>
      <c r="F83" s="11" t="s">
        <v>21</v>
      </c>
      <c r="G83" s="10">
        <v>25</v>
      </c>
      <c r="H83" s="10">
        <v>5</v>
      </c>
      <c r="I83" s="10">
        <v>12</v>
      </c>
      <c r="J83" s="10">
        <v>0</v>
      </c>
      <c r="K83" s="10">
        <v>15</v>
      </c>
      <c r="L83" s="10">
        <v>5</v>
      </c>
      <c r="M83" s="10">
        <v>15</v>
      </c>
      <c r="N83" s="10">
        <v>10</v>
      </c>
      <c r="O83" s="8">
        <v>10</v>
      </c>
      <c r="P83" s="8">
        <v>5</v>
      </c>
      <c r="Q83" s="9">
        <v>43</v>
      </c>
      <c r="R83" s="9">
        <v>8</v>
      </c>
      <c r="S83" s="8">
        <v>4</v>
      </c>
      <c r="T83" s="8">
        <v>4</v>
      </c>
      <c r="U83" s="8">
        <v>5</v>
      </c>
      <c r="V83" s="8">
        <v>7</v>
      </c>
      <c r="W83" s="7">
        <f t="shared" si="11"/>
        <v>35</v>
      </c>
      <c r="X83" s="7">
        <f t="shared" si="12"/>
        <v>19</v>
      </c>
      <c r="Y83" s="7">
        <f t="shared" si="13"/>
        <v>20</v>
      </c>
      <c r="Z83" s="7">
        <f t="shared" si="14"/>
        <v>17</v>
      </c>
      <c r="AA83" s="6">
        <f t="shared" si="15"/>
        <v>0.48571428571428571</v>
      </c>
    </row>
    <row r="84" spans="1:27" ht="26.4" x14ac:dyDescent="0.25">
      <c r="A84" s="9"/>
      <c r="B84" s="14" t="s">
        <v>57</v>
      </c>
      <c r="C84" s="10">
        <v>362</v>
      </c>
      <c r="D84" s="10">
        <v>1268525</v>
      </c>
      <c r="E84" s="12" t="s">
        <v>54</v>
      </c>
      <c r="F84" s="11" t="s">
        <v>24</v>
      </c>
      <c r="G84" s="10">
        <v>35</v>
      </c>
      <c r="H84" s="10">
        <v>10</v>
      </c>
      <c r="I84" s="10">
        <v>7</v>
      </c>
      <c r="J84" s="10">
        <v>0</v>
      </c>
      <c r="K84" s="10">
        <v>13</v>
      </c>
      <c r="L84" s="10">
        <v>10</v>
      </c>
      <c r="M84" s="10">
        <v>13</v>
      </c>
      <c r="N84" s="10">
        <v>22</v>
      </c>
      <c r="O84" s="8">
        <v>5</v>
      </c>
      <c r="P84" s="8">
        <v>5</v>
      </c>
      <c r="Q84" s="9">
        <v>63</v>
      </c>
      <c r="R84" s="9">
        <v>8</v>
      </c>
      <c r="S84" s="8">
        <v>2</v>
      </c>
      <c r="T84" s="8">
        <v>4</v>
      </c>
      <c r="U84" s="8">
        <v>2</v>
      </c>
      <c r="V84" s="8">
        <v>4</v>
      </c>
      <c r="W84" s="7">
        <f t="shared" si="11"/>
        <v>40</v>
      </c>
      <c r="X84" s="7">
        <f t="shared" si="12"/>
        <v>15</v>
      </c>
      <c r="Y84" s="7">
        <f t="shared" si="13"/>
        <v>15</v>
      </c>
      <c r="Z84" s="7">
        <f t="shared" si="14"/>
        <v>26</v>
      </c>
      <c r="AA84" s="6">
        <f t="shared" si="15"/>
        <v>0.65</v>
      </c>
    </row>
    <row r="85" spans="1:27" ht="26.4" x14ac:dyDescent="0.25">
      <c r="A85" s="9"/>
      <c r="B85" s="14" t="s">
        <v>57</v>
      </c>
      <c r="C85" s="10">
        <v>363</v>
      </c>
      <c r="D85" s="10">
        <v>91545</v>
      </c>
      <c r="E85" s="12" t="s">
        <v>45</v>
      </c>
      <c r="F85" s="11" t="s">
        <v>30</v>
      </c>
      <c r="G85" s="10">
        <v>35</v>
      </c>
      <c r="H85" s="10">
        <v>10</v>
      </c>
      <c r="I85" s="10">
        <v>0</v>
      </c>
      <c r="J85" s="10">
        <v>0</v>
      </c>
      <c r="K85" s="10">
        <v>23</v>
      </c>
      <c r="L85" s="10">
        <v>10</v>
      </c>
      <c r="M85" s="10">
        <v>0</v>
      </c>
      <c r="N85" s="10">
        <v>12</v>
      </c>
      <c r="O85" s="8">
        <v>5</v>
      </c>
      <c r="P85" s="8">
        <v>5</v>
      </c>
      <c r="Q85" s="9">
        <v>34</v>
      </c>
      <c r="R85" s="9">
        <v>3</v>
      </c>
      <c r="S85" s="8">
        <v>2</v>
      </c>
      <c r="T85" s="8">
        <v>5</v>
      </c>
      <c r="U85" s="8">
        <v>1</v>
      </c>
      <c r="V85" s="8">
        <v>3</v>
      </c>
      <c r="W85" s="7">
        <f t="shared" si="11"/>
        <v>40</v>
      </c>
      <c r="X85" s="7">
        <f t="shared" si="12"/>
        <v>25</v>
      </c>
      <c r="Y85" s="7">
        <f t="shared" si="13"/>
        <v>1</v>
      </c>
      <c r="Z85" s="7">
        <f t="shared" si="14"/>
        <v>15</v>
      </c>
      <c r="AA85" s="6">
        <f t="shared" si="15"/>
        <v>0.375</v>
      </c>
    </row>
    <row r="86" spans="1:27" ht="26.4" x14ac:dyDescent="0.25">
      <c r="A86" s="9"/>
      <c r="B86" s="14" t="s">
        <v>57</v>
      </c>
      <c r="C86" s="10">
        <v>364</v>
      </c>
      <c r="D86" s="10">
        <v>113172</v>
      </c>
      <c r="E86" s="12" t="s">
        <v>31</v>
      </c>
      <c r="F86" s="11" t="s">
        <v>21</v>
      </c>
      <c r="G86" s="10">
        <v>20</v>
      </c>
      <c r="H86" s="10">
        <v>5</v>
      </c>
      <c r="I86" s="10">
        <v>0</v>
      </c>
      <c r="J86" s="10">
        <v>0</v>
      </c>
      <c r="K86" s="10">
        <v>15</v>
      </c>
      <c r="L86" s="10">
        <v>5</v>
      </c>
      <c r="M86" s="10">
        <v>2</v>
      </c>
      <c r="N86" s="10">
        <v>5</v>
      </c>
      <c r="O86" s="8">
        <v>5</v>
      </c>
      <c r="P86" s="8">
        <v>5</v>
      </c>
      <c r="Q86" s="9">
        <v>21</v>
      </c>
      <c r="R86" s="9">
        <v>1</v>
      </c>
      <c r="S86" s="8">
        <v>0</v>
      </c>
      <c r="T86" s="8">
        <v>4</v>
      </c>
      <c r="U86" s="8">
        <v>1</v>
      </c>
      <c r="V86" s="8">
        <v>6</v>
      </c>
      <c r="W86" s="7">
        <f t="shared" si="11"/>
        <v>25</v>
      </c>
      <c r="X86" s="7">
        <f t="shared" si="12"/>
        <v>15</v>
      </c>
      <c r="Y86" s="7">
        <f t="shared" si="13"/>
        <v>3</v>
      </c>
      <c r="Z86" s="7">
        <f t="shared" si="14"/>
        <v>11</v>
      </c>
      <c r="AA86" s="6">
        <f t="shared" si="15"/>
        <v>0.44</v>
      </c>
    </row>
    <row r="87" spans="1:27" ht="26.4" x14ac:dyDescent="0.25">
      <c r="A87" s="9"/>
      <c r="B87" s="14" t="s">
        <v>57</v>
      </c>
      <c r="C87" s="10">
        <v>365</v>
      </c>
      <c r="D87" s="10">
        <v>82689</v>
      </c>
      <c r="E87" s="12" t="s">
        <v>32</v>
      </c>
      <c r="F87" s="11" t="s">
        <v>30</v>
      </c>
      <c r="G87" s="10">
        <v>20</v>
      </c>
      <c r="H87" s="10">
        <v>5</v>
      </c>
      <c r="I87" s="10">
        <v>0</v>
      </c>
      <c r="J87" s="10">
        <v>0</v>
      </c>
      <c r="K87" s="10">
        <v>16</v>
      </c>
      <c r="L87" s="10">
        <v>5</v>
      </c>
      <c r="M87" s="10">
        <v>5</v>
      </c>
      <c r="N87" s="10">
        <v>4</v>
      </c>
      <c r="O87" s="8">
        <v>5</v>
      </c>
      <c r="P87" s="8">
        <v>5</v>
      </c>
      <c r="Q87" s="9">
        <v>18</v>
      </c>
      <c r="R87" s="9">
        <v>4</v>
      </c>
      <c r="S87" s="8">
        <v>2</v>
      </c>
      <c r="T87" s="8">
        <v>4</v>
      </c>
      <c r="U87" s="8">
        <v>2</v>
      </c>
      <c r="V87" s="8">
        <v>4</v>
      </c>
      <c r="W87" s="7">
        <f t="shared" si="11"/>
        <v>25</v>
      </c>
      <c r="X87" s="7">
        <f t="shared" si="12"/>
        <v>18</v>
      </c>
      <c r="Y87" s="7">
        <f t="shared" si="13"/>
        <v>7</v>
      </c>
      <c r="Z87" s="7">
        <f t="shared" si="14"/>
        <v>8</v>
      </c>
      <c r="AA87" s="6">
        <f t="shared" si="15"/>
        <v>0.32</v>
      </c>
    </row>
    <row r="88" spans="1:27" ht="26.4" x14ac:dyDescent="0.25">
      <c r="A88" s="9"/>
      <c r="B88" s="14" t="s">
        <v>57</v>
      </c>
      <c r="C88" s="10">
        <v>366</v>
      </c>
      <c r="D88" s="10">
        <v>83330</v>
      </c>
      <c r="E88" s="12" t="s">
        <v>58</v>
      </c>
      <c r="F88" s="11" t="s">
        <v>28</v>
      </c>
      <c r="G88" s="10">
        <v>25</v>
      </c>
      <c r="H88" s="10">
        <v>5</v>
      </c>
      <c r="I88" s="10">
        <v>0</v>
      </c>
      <c r="J88" s="10">
        <v>0</v>
      </c>
      <c r="K88" s="10">
        <v>9</v>
      </c>
      <c r="L88" s="10">
        <v>5</v>
      </c>
      <c r="M88" s="10">
        <v>9</v>
      </c>
      <c r="N88" s="10">
        <v>16</v>
      </c>
      <c r="O88" s="8">
        <v>15</v>
      </c>
      <c r="P88" s="8">
        <v>5</v>
      </c>
      <c r="Q88" s="9">
        <v>44</v>
      </c>
      <c r="R88" s="9">
        <v>4</v>
      </c>
      <c r="S88" s="8">
        <v>4</v>
      </c>
      <c r="T88" s="8">
        <v>5</v>
      </c>
      <c r="U88" s="8">
        <v>5</v>
      </c>
      <c r="V88" s="8">
        <v>11</v>
      </c>
      <c r="W88" s="7">
        <f t="shared" si="11"/>
        <v>40</v>
      </c>
      <c r="X88" s="7">
        <f t="shared" si="12"/>
        <v>13</v>
      </c>
      <c r="Y88" s="7">
        <f t="shared" si="13"/>
        <v>14</v>
      </c>
      <c r="Z88" s="7">
        <f t="shared" si="14"/>
        <v>27</v>
      </c>
      <c r="AA88" s="6">
        <f t="shared" si="15"/>
        <v>0.67500000000000004</v>
      </c>
    </row>
    <row r="89" spans="1:27" ht="26.4" x14ac:dyDescent="0.25">
      <c r="A89" s="9"/>
      <c r="B89" s="14" t="s">
        <v>57</v>
      </c>
      <c r="C89" s="10">
        <v>367</v>
      </c>
      <c r="D89" s="10">
        <v>83392</v>
      </c>
      <c r="E89" s="12" t="s">
        <v>22</v>
      </c>
      <c r="F89" s="11" t="s">
        <v>28</v>
      </c>
      <c r="G89" s="10">
        <v>24</v>
      </c>
      <c r="H89" s="10">
        <v>5</v>
      </c>
      <c r="I89" s="10">
        <v>23</v>
      </c>
      <c r="J89" s="10">
        <v>0</v>
      </c>
      <c r="K89" s="10">
        <v>8</v>
      </c>
      <c r="L89" s="10">
        <v>5</v>
      </c>
      <c r="M89" s="10">
        <v>8</v>
      </c>
      <c r="N89" s="10">
        <v>16</v>
      </c>
      <c r="O89" s="8">
        <v>16</v>
      </c>
      <c r="P89" s="8">
        <v>5</v>
      </c>
      <c r="Q89" s="9">
        <v>134</v>
      </c>
      <c r="R89" s="9">
        <v>7</v>
      </c>
      <c r="S89" s="8">
        <v>8</v>
      </c>
      <c r="T89" s="8">
        <v>3</v>
      </c>
      <c r="U89" s="8">
        <v>8</v>
      </c>
      <c r="V89" s="8">
        <v>10</v>
      </c>
      <c r="W89" s="7">
        <f t="shared" si="11"/>
        <v>40</v>
      </c>
      <c r="X89" s="7">
        <f t="shared" si="12"/>
        <v>16</v>
      </c>
      <c r="Y89" s="7">
        <f t="shared" si="13"/>
        <v>16</v>
      </c>
      <c r="Z89" s="7">
        <f t="shared" si="14"/>
        <v>26</v>
      </c>
      <c r="AA89" s="6">
        <f t="shared" si="15"/>
        <v>0.65</v>
      </c>
    </row>
    <row r="90" spans="1:27" x14ac:dyDescent="0.25">
      <c r="A90" s="9"/>
      <c r="B90" s="14" t="s">
        <v>55</v>
      </c>
      <c r="C90" s="10">
        <v>382</v>
      </c>
      <c r="D90" s="10">
        <v>91797</v>
      </c>
      <c r="E90" s="12" t="s">
        <v>56</v>
      </c>
      <c r="F90" s="11" t="s">
        <v>30</v>
      </c>
      <c r="G90" s="10">
        <v>25</v>
      </c>
      <c r="H90" s="10">
        <v>5</v>
      </c>
      <c r="I90" s="10">
        <v>0</v>
      </c>
      <c r="J90" s="10">
        <v>0</v>
      </c>
      <c r="K90" s="10">
        <v>17</v>
      </c>
      <c r="L90" s="10">
        <v>5</v>
      </c>
      <c r="M90" s="10">
        <v>17</v>
      </c>
      <c r="N90" s="10">
        <v>8</v>
      </c>
      <c r="O90" s="8">
        <v>15</v>
      </c>
      <c r="P90" s="8">
        <v>5</v>
      </c>
      <c r="Q90" s="9">
        <v>55</v>
      </c>
      <c r="R90" s="9">
        <v>5</v>
      </c>
      <c r="S90" s="8">
        <v>8</v>
      </c>
      <c r="T90" s="8">
        <v>5</v>
      </c>
      <c r="U90" s="8">
        <v>8</v>
      </c>
      <c r="V90" s="8">
        <v>7</v>
      </c>
      <c r="W90" s="7">
        <f t="shared" si="11"/>
        <v>40</v>
      </c>
      <c r="X90" s="7">
        <f t="shared" si="12"/>
        <v>25</v>
      </c>
      <c r="Y90" s="7">
        <f t="shared" si="13"/>
        <v>25</v>
      </c>
      <c r="Z90" s="7">
        <f t="shared" si="14"/>
        <v>15</v>
      </c>
      <c r="AA90" s="6">
        <f t="shared" si="15"/>
        <v>0.375</v>
      </c>
    </row>
    <row r="91" spans="1:27" x14ac:dyDescent="0.25">
      <c r="A91" s="9"/>
      <c r="B91" s="14" t="s">
        <v>55</v>
      </c>
      <c r="C91" s="10">
        <v>383</v>
      </c>
      <c r="D91" s="10">
        <v>83394</v>
      </c>
      <c r="E91" s="12" t="s">
        <v>22</v>
      </c>
      <c r="F91" s="11" t="s">
        <v>21</v>
      </c>
      <c r="G91" s="10">
        <v>30</v>
      </c>
      <c r="H91" s="10">
        <v>10</v>
      </c>
      <c r="I91" s="10">
        <v>20</v>
      </c>
      <c r="J91" s="10">
        <v>0</v>
      </c>
      <c r="K91" s="10">
        <v>6</v>
      </c>
      <c r="L91" s="10">
        <v>10</v>
      </c>
      <c r="M91" s="10">
        <v>9</v>
      </c>
      <c r="N91" s="10">
        <v>24</v>
      </c>
      <c r="O91" s="8">
        <v>10</v>
      </c>
      <c r="P91" s="8">
        <v>5</v>
      </c>
      <c r="Q91" s="9">
        <v>99</v>
      </c>
      <c r="R91" s="9">
        <v>4</v>
      </c>
      <c r="S91" s="8">
        <v>2</v>
      </c>
      <c r="T91" s="8">
        <v>4</v>
      </c>
      <c r="U91" s="8">
        <v>2</v>
      </c>
      <c r="V91" s="8">
        <v>9</v>
      </c>
      <c r="W91" s="7">
        <f t="shared" si="11"/>
        <v>40</v>
      </c>
      <c r="X91" s="7">
        <f t="shared" si="12"/>
        <v>8</v>
      </c>
      <c r="Y91" s="7">
        <f t="shared" si="13"/>
        <v>11</v>
      </c>
      <c r="Z91" s="7">
        <f t="shared" si="14"/>
        <v>33</v>
      </c>
      <c r="AA91" s="6">
        <f t="shared" si="15"/>
        <v>0.82499999999999996</v>
      </c>
    </row>
    <row r="92" spans="1:27" x14ac:dyDescent="0.25">
      <c r="A92" s="9"/>
      <c r="B92" s="14" t="s">
        <v>52</v>
      </c>
      <c r="C92" s="10">
        <v>401</v>
      </c>
      <c r="D92" s="10">
        <v>91799</v>
      </c>
      <c r="E92" s="12" t="s">
        <v>8</v>
      </c>
      <c r="F92" s="11" t="s">
        <v>28</v>
      </c>
      <c r="G92" s="10">
        <v>43</v>
      </c>
      <c r="H92" s="10">
        <v>10</v>
      </c>
      <c r="I92" s="10">
        <v>160</v>
      </c>
      <c r="J92" s="10">
        <v>0</v>
      </c>
      <c r="K92" s="10">
        <v>4</v>
      </c>
      <c r="L92" s="10">
        <v>9</v>
      </c>
      <c r="M92" s="10">
        <v>11</v>
      </c>
      <c r="N92" s="10">
        <v>40</v>
      </c>
      <c r="O92" s="8">
        <v>7</v>
      </c>
      <c r="P92" s="8">
        <v>5</v>
      </c>
      <c r="Q92" s="9">
        <v>128</v>
      </c>
      <c r="R92" s="9">
        <v>10</v>
      </c>
      <c r="S92" s="8">
        <v>2</v>
      </c>
      <c r="T92" s="8">
        <v>4</v>
      </c>
      <c r="U92" s="8">
        <v>2</v>
      </c>
      <c r="V92" s="8">
        <v>6</v>
      </c>
      <c r="W92" s="7">
        <f t="shared" si="11"/>
        <v>50</v>
      </c>
      <c r="X92" s="7">
        <f t="shared" si="12"/>
        <v>6</v>
      </c>
      <c r="Y92" s="7">
        <f t="shared" si="13"/>
        <v>13</v>
      </c>
      <c r="Z92" s="7">
        <f t="shared" si="14"/>
        <v>46</v>
      </c>
      <c r="AA92" s="6">
        <f t="shared" si="15"/>
        <v>0.92</v>
      </c>
    </row>
    <row r="93" spans="1:27" x14ac:dyDescent="0.25">
      <c r="A93" s="9"/>
      <c r="B93" s="14" t="s">
        <v>52</v>
      </c>
      <c r="C93" s="10">
        <v>402</v>
      </c>
      <c r="D93" s="10">
        <v>1619066</v>
      </c>
      <c r="E93" s="12" t="s">
        <v>40</v>
      </c>
      <c r="F93" s="11" t="s">
        <v>28</v>
      </c>
      <c r="G93" s="10">
        <v>22</v>
      </c>
      <c r="H93" s="10">
        <v>5</v>
      </c>
      <c r="I93" s="10">
        <v>417</v>
      </c>
      <c r="J93" s="10">
        <v>2</v>
      </c>
      <c r="K93" s="10">
        <v>3</v>
      </c>
      <c r="L93" s="10">
        <v>1</v>
      </c>
      <c r="M93" s="10">
        <v>9</v>
      </c>
      <c r="N93" s="10">
        <v>23</v>
      </c>
      <c r="O93" s="8">
        <v>8</v>
      </c>
      <c r="P93" s="8">
        <v>5</v>
      </c>
      <c r="Q93" s="9">
        <v>252</v>
      </c>
      <c r="R93" s="9">
        <v>20</v>
      </c>
      <c r="S93" s="8">
        <v>2</v>
      </c>
      <c r="T93" s="8">
        <v>2</v>
      </c>
      <c r="U93" s="8">
        <v>5</v>
      </c>
      <c r="V93" s="8">
        <v>9</v>
      </c>
      <c r="W93" s="7">
        <f t="shared" si="11"/>
        <v>30</v>
      </c>
      <c r="X93" s="7">
        <f t="shared" si="12"/>
        <v>5</v>
      </c>
      <c r="Y93" s="7">
        <f t="shared" si="13"/>
        <v>14</v>
      </c>
      <c r="Z93" s="7">
        <f t="shared" si="14"/>
        <v>32</v>
      </c>
      <c r="AA93" s="6">
        <f t="shared" si="15"/>
        <v>1.0666666666666667</v>
      </c>
    </row>
    <row r="94" spans="1:27" ht="26.4" x14ac:dyDescent="0.25">
      <c r="A94" s="9"/>
      <c r="B94" s="14" t="s">
        <v>52</v>
      </c>
      <c r="C94" s="10">
        <v>403</v>
      </c>
      <c r="D94" s="10">
        <v>83964</v>
      </c>
      <c r="E94" s="12" t="s">
        <v>54</v>
      </c>
      <c r="F94" s="11" t="s">
        <v>24</v>
      </c>
      <c r="G94" s="10">
        <v>40</v>
      </c>
      <c r="H94" s="10">
        <v>10</v>
      </c>
      <c r="I94" s="10">
        <v>96</v>
      </c>
      <c r="J94" s="10">
        <v>0</v>
      </c>
      <c r="K94" s="10">
        <v>6</v>
      </c>
      <c r="L94" s="10">
        <v>10</v>
      </c>
      <c r="M94" s="10">
        <v>15</v>
      </c>
      <c r="N94" s="10">
        <v>34</v>
      </c>
      <c r="O94" s="8">
        <v>10</v>
      </c>
      <c r="P94" s="8">
        <v>5</v>
      </c>
      <c r="Q94" s="9">
        <v>124</v>
      </c>
      <c r="R94" s="9">
        <v>9</v>
      </c>
      <c r="S94" s="8">
        <v>2</v>
      </c>
      <c r="T94" s="8">
        <v>4</v>
      </c>
      <c r="U94" s="8">
        <v>4</v>
      </c>
      <c r="V94" s="8">
        <v>9</v>
      </c>
      <c r="W94" s="7">
        <f t="shared" si="11"/>
        <v>50</v>
      </c>
      <c r="X94" s="7">
        <f t="shared" si="12"/>
        <v>8</v>
      </c>
      <c r="Y94" s="7">
        <f t="shared" si="13"/>
        <v>19</v>
      </c>
      <c r="Z94" s="7">
        <f t="shared" si="14"/>
        <v>43</v>
      </c>
      <c r="AA94" s="6">
        <f t="shared" si="15"/>
        <v>0.86</v>
      </c>
    </row>
    <row r="95" spans="1:27" x14ac:dyDescent="0.25">
      <c r="A95" s="9"/>
      <c r="B95" s="14" t="s">
        <v>52</v>
      </c>
      <c r="C95" s="10">
        <v>404</v>
      </c>
      <c r="D95" s="10">
        <v>91801</v>
      </c>
      <c r="E95" s="12" t="s">
        <v>53</v>
      </c>
      <c r="F95" s="11" t="s">
        <v>24</v>
      </c>
      <c r="G95" s="10">
        <v>22</v>
      </c>
      <c r="H95" s="10">
        <v>5</v>
      </c>
      <c r="I95" s="10">
        <v>255</v>
      </c>
      <c r="J95" s="10">
        <v>0</v>
      </c>
      <c r="K95" s="10">
        <v>2</v>
      </c>
      <c r="L95" s="10">
        <v>2</v>
      </c>
      <c r="M95" s="10">
        <v>11</v>
      </c>
      <c r="N95" s="10">
        <v>23</v>
      </c>
      <c r="O95" s="8">
        <v>8</v>
      </c>
      <c r="P95" s="8">
        <v>5</v>
      </c>
      <c r="Q95" s="9">
        <v>256</v>
      </c>
      <c r="R95" s="9">
        <v>30</v>
      </c>
      <c r="S95" s="8">
        <v>6</v>
      </c>
      <c r="T95" s="8">
        <v>4</v>
      </c>
      <c r="U95" s="8">
        <v>10</v>
      </c>
      <c r="V95" s="8">
        <v>3</v>
      </c>
      <c r="W95" s="7">
        <f t="shared" si="11"/>
        <v>30</v>
      </c>
      <c r="X95" s="7">
        <f t="shared" si="12"/>
        <v>8</v>
      </c>
      <c r="Y95" s="7">
        <f t="shared" si="13"/>
        <v>21</v>
      </c>
      <c r="Z95" s="7">
        <f t="shared" si="14"/>
        <v>26</v>
      </c>
      <c r="AA95" s="6">
        <f t="shared" si="15"/>
        <v>0.8666666666666667</v>
      </c>
    </row>
    <row r="96" spans="1:27" x14ac:dyDescent="0.25">
      <c r="A96" s="9"/>
      <c r="B96" s="14" t="s">
        <v>52</v>
      </c>
      <c r="C96" s="10">
        <v>405</v>
      </c>
      <c r="D96" s="10">
        <v>83402</v>
      </c>
      <c r="E96" s="12" t="s">
        <v>22</v>
      </c>
      <c r="F96" s="11" t="s">
        <v>21</v>
      </c>
      <c r="G96" s="10">
        <v>30</v>
      </c>
      <c r="H96" s="10">
        <v>10</v>
      </c>
      <c r="I96" s="10">
        <v>47</v>
      </c>
      <c r="J96" s="10">
        <v>0</v>
      </c>
      <c r="K96" s="10">
        <v>6</v>
      </c>
      <c r="L96" s="10">
        <v>10</v>
      </c>
      <c r="M96" s="10">
        <v>11</v>
      </c>
      <c r="N96" s="10">
        <v>24</v>
      </c>
      <c r="O96" s="8">
        <v>10</v>
      </c>
      <c r="P96" s="8">
        <v>5</v>
      </c>
      <c r="Q96" s="9">
        <v>111</v>
      </c>
      <c r="R96" s="9">
        <v>12</v>
      </c>
      <c r="S96" s="8">
        <v>1</v>
      </c>
      <c r="T96" s="8">
        <v>4</v>
      </c>
      <c r="U96" s="8">
        <v>4</v>
      </c>
      <c r="V96" s="8">
        <v>10</v>
      </c>
      <c r="W96" s="7">
        <f t="shared" si="11"/>
        <v>40</v>
      </c>
      <c r="X96" s="7">
        <f t="shared" si="12"/>
        <v>7</v>
      </c>
      <c r="Y96" s="7">
        <f t="shared" si="13"/>
        <v>15</v>
      </c>
      <c r="Z96" s="7">
        <f t="shared" si="14"/>
        <v>34</v>
      </c>
      <c r="AA96" s="6">
        <f t="shared" si="15"/>
        <v>0.85</v>
      </c>
    </row>
    <row r="97" spans="1:27" x14ac:dyDescent="0.25">
      <c r="A97" s="9"/>
      <c r="B97" s="14" t="s">
        <v>52</v>
      </c>
      <c r="C97" s="10">
        <v>406</v>
      </c>
      <c r="D97" s="10">
        <v>83402</v>
      </c>
      <c r="E97" s="12" t="s">
        <v>22</v>
      </c>
      <c r="F97" s="11" t="s">
        <v>28</v>
      </c>
      <c r="G97" s="10">
        <v>30</v>
      </c>
      <c r="H97" s="10">
        <v>10</v>
      </c>
      <c r="I97" s="10">
        <v>106</v>
      </c>
      <c r="J97" s="10">
        <v>0</v>
      </c>
      <c r="K97" s="10">
        <v>4</v>
      </c>
      <c r="L97" s="10">
        <v>7</v>
      </c>
      <c r="M97" s="10">
        <v>5</v>
      </c>
      <c r="N97" s="10">
        <v>29</v>
      </c>
      <c r="O97" s="8">
        <v>10</v>
      </c>
      <c r="P97" s="8">
        <v>5</v>
      </c>
      <c r="Q97" s="9">
        <v>161</v>
      </c>
      <c r="R97" s="9">
        <v>8</v>
      </c>
      <c r="S97" s="8">
        <v>4</v>
      </c>
      <c r="T97" s="8">
        <v>5</v>
      </c>
      <c r="U97" s="8">
        <v>6</v>
      </c>
      <c r="V97" s="8">
        <v>6</v>
      </c>
      <c r="W97" s="7">
        <f t="shared" si="11"/>
        <v>40</v>
      </c>
      <c r="X97" s="7">
        <f t="shared" si="12"/>
        <v>8</v>
      </c>
      <c r="Y97" s="7">
        <f t="shared" si="13"/>
        <v>11</v>
      </c>
      <c r="Z97" s="7">
        <f t="shared" si="14"/>
        <v>35</v>
      </c>
      <c r="AA97" s="6">
        <f t="shared" si="15"/>
        <v>0.875</v>
      </c>
    </row>
    <row r="98" spans="1:27" x14ac:dyDescent="0.25">
      <c r="A98" s="9"/>
      <c r="B98" s="14" t="s">
        <v>51</v>
      </c>
      <c r="C98" s="10">
        <v>422</v>
      </c>
      <c r="D98" s="10">
        <v>92433</v>
      </c>
      <c r="E98" s="12" t="s">
        <v>45</v>
      </c>
      <c r="F98" s="11" t="s">
        <v>28</v>
      </c>
      <c r="G98" s="10">
        <v>40</v>
      </c>
      <c r="H98" s="10">
        <v>10</v>
      </c>
      <c r="I98" s="10">
        <v>35</v>
      </c>
      <c r="J98" s="10">
        <v>0</v>
      </c>
      <c r="K98" s="10">
        <v>22</v>
      </c>
      <c r="L98" s="10">
        <v>9</v>
      </c>
      <c r="M98" s="10">
        <v>27</v>
      </c>
      <c r="N98" s="10">
        <v>19</v>
      </c>
      <c r="O98" s="8">
        <v>10</v>
      </c>
      <c r="P98" s="8">
        <v>5</v>
      </c>
      <c r="Q98" s="9">
        <v>75</v>
      </c>
      <c r="R98" s="9">
        <v>6</v>
      </c>
      <c r="S98" s="8">
        <v>6</v>
      </c>
      <c r="T98" s="8">
        <v>4</v>
      </c>
      <c r="U98" s="8">
        <v>6</v>
      </c>
      <c r="V98" s="8">
        <v>5</v>
      </c>
      <c r="W98" s="7">
        <f t="shared" si="11"/>
        <v>50</v>
      </c>
      <c r="X98" s="7">
        <f t="shared" si="12"/>
        <v>28</v>
      </c>
      <c r="Y98" s="7">
        <f t="shared" si="13"/>
        <v>33</v>
      </c>
      <c r="Z98" s="7">
        <f t="shared" si="14"/>
        <v>24</v>
      </c>
      <c r="AA98" s="6">
        <f t="shared" si="15"/>
        <v>0.48</v>
      </c>
    </row>
    <row r="99" spans="1:27" ht="26.4" x14ac:dyDescent="0.25">
      <c r="A99" s="9"/>
      <c r="B99" s="14" t="s">
        <v>51</v>
      </c>
      <c r="C99" s="10">
        <v>423</v>
      </c>
      <c r="D99" s="10">
        <v>83132</v>
      </c>
      <c r="E99" s="12" t="s">
        <v>32</v>
      </c>
      <c r="F99" s="11" t="s">
        <v>28</v>
      </c>
      <c r="G99" s="10">
        <v>35</v>
      </c>
      <c r="H99" s="10">
        <v>10</v>
      </c>
      <c r="I99" s="10">
        <v>21</v>
      </c>
      <c r="J99" s="10">
        <v>0</v>
      </c>
      <c r="K99" s="10">
        <v>17</v>
      </c>
      <c r="L99" s="10">
        <v>10</v>
      </c>
      <c r="M99" s="10">
        <v>21</v>
      </c>
      <c r="N99" s="10">
        <v>18</v>
      </c>
      <c r="O99" s="8">
        <v>5</v>
      </c>
      <c r="P99" s="8">
        <v>5</v>
      </c>
      <c r="Q99" s="9">
        <v>57</v>
      </c>
      <c r="R99" s="9">
        <v>3</v>
      </c>
      <c r="S99" s="8">
        <v>0</v>
      </c>
      <c r="T99" s="8">
        <v>4</v>
      </c>
      <c r="U99" s="8">
        <v>0</v>
      </c>
      <c r="V99" s="8">
        <v>6</v>
      </c>
      <c r="W99" s="7">
        <f t="shared" si="11"/>
        <v>40</v>
      </c>
      <c r="X99" s="7">
        <f t="shared" si="12"/>
        <v>17</v>
      </c>
      <c r="Y99" s="7">
        <f t="shared" si="13"/>
        <v>21</v>
      </c>
      <c r="Z99" s="7">
        <f t="shared" si="14"/>
        <v>24</v>
      </c>
      <c r="AA99" s="6">
        <f t="shared" si="15"/>
        <v>0.6</v>
      </c>
    </row>
    <row r="100" spans="1:27" x14ac:dyDescent="0.25">
      <c r="A100" s="9"/>
      <c r="B100" s="14" t="s">
        <v>51</v>
      </c>
      <c r="C100" s="10">
        <v>424</v>
      </c>
      <c r="D100" s="10">
        <v>83404</v>
      </c>
      <c r="E100" s="12" t="s">
        <v>22</v>
      </c>
      <c r="F100" s="11" t="s">
        <v>28</v>
      </c>
      <c r="G100" s="10">
        <v>40</v>
      </c>
      <c r="H100" s="10">
        <v>10</v>
      </c>
      <c r="I100" s="10">
        <v>55</v>
      </c>
      <c r="J100" s="10">
        <v>0</v>
      </c>
      <c r="K100" s="10">
        <v>7</v>
      </c>
      <c r="L100" s="10">
        <v>10</v>
      </c>
      <c r="M100" s="10">
        <v>9</v>
      </c>
      <c r="N100" s="10">
        <v>33</v>
      </c>
      <c r="O100" s="8">
        <v>10</v>
      </c>
      <c r="P100" s="8">
        <v>5</v>
      </c>
      <c r="Q100" s="9">
        <v>126</v>
      </c>
      <c r="R100" s="9">
        <v>8</v>
      </c>
      <c r="S100" s="8">
        <v>6</v>
      </c>
      <c r="T100" s="8">
        <v>5</v>
      </c>
      <c r="U100" s="8">
        <v>7</v>
      </c>
      <c r="V100" s="8">
        <v>4</v>
      </c>
      <c r="W100" s="7">
        <f t="shared" si="11"/>
        <v>50</v>
      </c>
      <c r="X100" s="7">
        <f t="shared" si="12"/>
        <v>13</v>
      </c>
      <c r="Y100" s="7">
        <f t="shared" si="13"/>
        <v>16</v>
      </c>
      <c r="Z100" s="7">
        <f t="shared" si="14"/>
        <v>37</v>
      </c>
      <c r="AA100" s="6">
        <f t="shared" si="15"/>
        <v>0.74</v>
      </c>
    </row>
    <row r="101" spans="1:27" ht="26.4" x14ac:dyDescent="0.25">
      <c r="A101" s="9"/>
      <c r="B101" s="14" t="s">
        <v>49</v>
      </c>
      <c r="C101" s="10">
        <v>444</v>
      </c>
      <c r="D101" s="10">
        <v>100129</v>
      </c>
      <c r="E101" s="12" t="s">
        <v>50</v>
      </c>
      <c r="F101" s="11" t="s">
        <v>28</v>
      </c>
      <c r="G101" s="10">
        <v>20</v>
      </c>
      <c r="H101" s="10">
        <v>5</v>
      </c>
      <c r="I101" s="10">
        <v>25</v>
      </c>
      <c r="J101" s="10">
        <v>0</v>
      </c>
      <c r="K101" s="10">
        <v>4</v>
      </c>
      <c r="L101" s="10">
        <v>4</v>
      </c>
      <c r="M101" s="10">
        <v>5</v>
      </c>
      <c r="N101" s="10">
        <v>17</v>
      </c>
      <c r="O101" s="8">
        <v>20</v>
      </c>
      <c r="P101" s="8">
        <v>5</v>
      </c>
      <c r="Q101" s="9">
        <v>77</v>
      </c>
      <c r="R101" s="9">
        <v>4</v>
      </c>
      <c r="S101" s="8">
        <v>9</v>
      </c>
      <c r="T101" s="8">
        <v>5</v>
      </c>
      <c r="U101" s="8">
        <v>11</v>
      </c>
      <c r="V101" s="8">
        <v>11</v>
      </c>
      <c r="W101" s="7">
        <f t="shared" si="11"/>
        <v>40</v>
      </c>
      <c r="X101" s="7">
        <f t="shared" si="12"/>
        <v>13</v>
      </c>
      <c r="Y101" s="7">
        <f t="shared" si="13"/>
        <v>16</v>
      </c>
      <c r="Z101" s="7">
        <f t="shared" si="14"/>
        <v>28</v>
      </c>
      <c r="AA101" s="6">
        <f t="shared" si="15"/>
        <v>0.7</v>
      </c>
    </row>
    <row r="102" spans="1:27" ht="26.4" x14ac:dyDescent="0.25">
      <c r="A102" s="9"/>
      <c r="B102" s="14" t="s">
        <v>49</v>
      </c>
      <c r="C102" s="10">
        <v>445</v>
      </c>
      <c r="D102" s="10">
        <v>91805</v>
      </c>
      <c r="E102" s="12" t="s">
        <v>45</v>
      </c>
      <c r="F102" s="11" t="s">
        <v>30</v>
      </c>
      <c r="G102" s="10">
        <v>30</v>
      </c>
      <c r="H102" s="10">
        <v>10</v>
      </c>
      <c r="I102" s="10">
        <v>15</v>
      </c>
      <c r="J102" s="10">
        <v>0</v>
      </c>
      <c r="K102" s="10">
        <v>16</v>
      </c>
      <c r="L102" s="10">
        <v>10</v>
      </c>
      <c r="M102" s="10">
        <v>16</v>
      </c>
      <c r="N102" s="10">
        <v>14</v>
      </c>
      <c r="O102" s="8">
        <v>10</v>
      </c>
      <c r="P102" s="8">
        <v>5</v>
      </c>
      <c r="Q102" s="9">
        <v>68</v>
      </c>
      <c r="R102" s="9">
        <v>5</v>
      </c>
      <c r="S102" s="8">
        <v>4</v>
      </c>
      <c r="T102" s="8">
        <v>4</v>
      </c>
      <c r="U102" s="8">
        <v>4</v>
      </c>
      <c r="V102" s="8">
        <v>7</v>
      </c>
      <c r="W102" s="7">
        <f t="shared" si="11"/>
        <v>40</v>
      </c>
      <c r="X102" s="7">
        <f t="shared" si="12"/>
        <v>20</v>
      </c>
      <c r="Y102" s="7">
        <f t="shared" si="13"/>
        <v>20</v>
      </c>
      <c r="Z102" s="7">
        <f t="shared" si="14"/>
        <v>21</v>
      </c>
      <c r="AA102" s="6">
        <f t="shared" si="15"/>
        <v>0.52500000000000002</v>
      </c>
    </row>
    <row r="103" spans="1:27" ht="26.4" x14ac:dyDescent="0.25">
      <c r="A103" s="9"/>
      <c r="B103" s="14" t="s">
        <v>49</v>
      </c>
      <c r="C103" s="10">
        <v>446</v>
      </c>
      <c r="D103" s="10">
        <v>83155</v>
      </c>
      <c r="E103" s="12" t="s">
        <v>32</v>
      </c>
      <c r="F103" s="11" t="s">
        <v>30</v>
      </c>
      <c r="G103" s="10">
        <v>30</v>
      </c>
      <c r="H103" s="10">
        <v>10</v>
      </c>
      <c r="I103" s="10">
        <v>10</v>
      </c>
      <c r="J103" s="10">
        <v>0</v>
      </c>
      <c r="K103" s="10">
        <v>14</v>
      </c>
      <c r="L103" s="10">
        <v>10</v>
      </c>
      <c r="M103" s="10">
        <v>16</v>
      </c>
      <c r="N103" s="10">
        <v>16</v>
      </c>
      <c r="O103" s="8">
        <v>10</v>
      </c>
      <c r="P103" s="8">
        <v>5</v>
      </c>
      <c r="Q103" s="9">
        <v>58</v>
      </c>
      <c r="R103" s="9">
        <v>5</v>
      </c>
      <c r="S103" s="8">
        <v>0</v>
      </c>
      <c r="T103" s="8">
        <v>4</v>
      </c>
      <c r="U103" s="8">
        <v>1</v>
      </c>
      <c r="V103" s="8">
        <v>11</v>
      </c>
      <c r="W103" s="7">
        <f t="shared" ref="W103:W113" si="16">G103+O103</f>
        <v>40</v>
      </c>
      <c r="X103" s="7">
        <f t="shared" ref="X103:X113" si="17">K103+S103</f>
        <v>14</v>
      </c>
      <c r="Y103" s="7">
        <f t="shared" ref="Y103:Y113" si="18">M103+U103</f>
        <v>17</v>
      </c>
      <c r="Z103" s="7">
        <f t="shared" ref="Z103:Z113" si="19">N103+V103</f>
        <v>27</v>
      </c>
      <c r="AA103" s="6">
        <f t="shared" si="15"/>
        <v>0.67500000000000004</v>
      </c>
    </row>
    <row r="104" spans="1:27" x14ac:dyDescent="0.25">
      <c r="A104" s="9"/>
      <c r="B104" s="14" t="s">
        <v>48</v>
      </c>
      <c r="C104" s="10">
        <v>461</v>
      </c>
      <c r="D104" s="10">
        <v>83411</v>
      </c>
      <c r="E104" s="12" t="s">
        <v>22</v>
      </c>
      <c r="F104" s="11" t="s">
        <v>28</v>
      </c>
      <c r="G104" s="10">
        <v>40</v>
      </c>
      <c r="H104" s="10">
        <v>10</v>
      </c>
      <c r="I104" s="10">
        <v>89</v>
      </c>
      <c r="J104" s="10">
        <v>0</v>
      </c>
      <c r="K104" s="10">
        <v>6</v>
      </c>
      <c r="L104" s="10">
        <v>10</v>
      </c>
      <c r="M104" s="10">
        <v>13</v>
      </c>
      <c r="N104" s="10">
        <v>34</v>
      </c>
      <c r="O104" s="8">
        <v>10</v>
      </c>
      <c r="P104" s="8">
        <v>5</v>
      </c>
      <c r="Q104" s="9">
        <v>130</v>
      </c>
      <c r="R104" s="9">
        <v>16</v>
      </c>
      <c r="S104" s="8">
        <v>4</v>
      </c>
      <c r="T104" s="8">
        <v>2</v>
      </c>
      <c r="U104" s="8">
        <v>4</v>
      </c>
      <c r="V104" s="8">
        <v>9</v>
      </c>
      <c r="W104" s="7">
        <f t="shared" si="16"/>
        <v>50</v>
      </c>
      <c r="X104" s="7">
        <f t="shared" si="17"/>
        <v>10</v>
      </c>
      <c r="Y104" s="7">
        <f t="shared" si="18"/>
        <v>17</v>
      </c>
      <c r="Z104" s="7">
        <f t="shared" si="19"/>
        <v>43</v>
      </c>
      <c r="AA104" s="6">
        <f t="shared" si="15"/>
        <v>0.86</v>
      </c>
    </row>
    <row r="105" spans="1:27" x14ac:dyDescent="0.25">
      <c r="A105" s="9"/>
      <c r="B105" s="14" t="s">
        <v>47</v>
      </c>
      <c r="C105" s="10">
        <v>481</v>
      </c>
      <c r="D105" s="10">
        <v>1342686</v>
      </c>
      <c r="E105" s="12" t="s">
        <v>8</v>
      </c>
      <c r="F105" s="11" t="s">
        <v>28</v>
      </c>
      <c r="G105" s="10">
        <v>40</v>
      </c>
      <c r="H105" s="10">
        <v>10</v>
      </c>
      <c r="I105" s="10">
        <v>42</v>
      </c>
      <c r="J105" s="10">
        <v>0</v>
      </c>
      <c r="K105" s="10">
        <v>4</v>
      </c>
      <c r="L105" s="10">
        <v>8</v>
      </c>
      <c r="M105" s="10">
        <v>9</v>
      </c>
      <c r="N105" s="10">
        <v>38</v>
      </c>
      <c r="O105" s="8">
        <v>10</v>
      </c>
      <c r="P105" s="8">
        <v>5</v>
      </c>
      <c r="Q105" s="9">
        <v>158</v>
      </c>
      <c r="R105" s="9">
        <v>31</v>
      </c>
      <c r="S105" s="8">
        <v>4</v>
      </c>
      <c r="T105" s="8">
        <v>2</v>
      </c>
      <c r="U105" s="8">
        <v>7</v>
      </c>
      <c r="V105" s="8">
        <v>9</v>
      </c>
      <c r="W105" s="7">
        <f t="shared" si="16"/>
        <v>50</v>
      </c>
      <c r="X105" s="7">
        <f t="shared" si="17"/>
        <v>8</v>
      </c>
      <c r="Y105" s="7">
        <f t="shared" si="18"/>
        <v>16</v>
      </c>
      <c r="Z105" s="7">
        <f t="shared" si="19"/>
        <v>47</v>
      </c>
      <c r="AA105" s="6">
        <f t="shared" si="15"/>
        <v>0.94</v>
      </c>
    </row>
    <row r="106" spans="1:27" ht="26.4" x14ac:dyDescent="0.25">
      <c r="A106" s="9"/>
      <c r="B106" s="14" t="s">
        <v>47</v>
      </c>
      <c r="C106" s="10">
        <v>482</v>
      </c>
      <c r="D106" s="10">
        <v>92444</v>
      </c>
      <c r="E106" s="12" t="s">
        <v>32</v>
      </c>
      <c r="F106" s="11" t="s">
        <v>28</v>
      </c>
      <c r="G106" s="10">
        <v>25</v>
      </c>
      <c r="H106" s="10">
        <v>5</v>
      </c>
      <c r="I106" s="10">
        <v>49</v>
      </c>
      <c r="J106" s="10">
        <v>11</v>
      </c>
      <c r="K106" s="10">
        <v>1</v>
      </c>
      <c r="L106" s="10">
        <v>0</v>
      </c>
      <c r="M106" s="10">
        <v>5</v>
      </c>
      <c r="N106" s="10">
        <v>29</v>
      </c>
      <c r="O106" s="8">
        <v>5</v>
      </c>
      <c r="P106" s="8">
        <v>5</v>
      </c>
      <c r="Q106" s="9">
        <v>84</v>
      </c>
      <c r="R106" s="9">
        <v>12</v>
      </c>
      <c r="S106" s="8">
        <v>1</v>
      </c>
      <c r="T106" s="8">
        <v>4</v>
      </c>
      <c r="U106" s="8">
        <v>2</v>
      </c>
      <c r="V106" s="8">
        <v>5</v>
      </c>
      <c r="W106" s="7">
        <f t="shared" si="16"/>
        <v>30</v>
      </c>
      <c r="X106" s="7">
        <f t="shared" si="17"/>
        <v>2</v>
      </c>
      <c r="Y106" s="7">
        <f t="shared" si="18"/>
        <v>7</v>
      </c>
      <c r="Z106" s="7">
        <f t="shared" si="19"/>
        <v>34</v>
      </c>
      <c r="AA106" s="6">
        <f t="shared" ref="AA106:AA137" si="20">Z106/W106</f>
        <v>1.1333333333333333</v>
      </c>
    </row>
    <row r="107" spans="1:27" x14ac:dyDescent="0.25">
      <c r="A107" s="9"/>
      <c r="B107" s="44" t="s">
        <v>47</v>
      </c>
      <c r="C107" s="10">
        <v>483</v>
      </c>
      <c r="D107" s="10">
        <v>83415</v>
      </c>
      <c r="E107" s="12" t="s">
        <v>22</v>
      </c>
      <c r="F107" s="11" t="s">
        <v>30</v>
      </c>
      <c r="G107" s="10">
        <v>39</v>
      </c>
      <c r="H107" s="10">
        <v>10</v>
      </c>
      <c r="I107" s="10">
        <v>47</v>
      </c>
      <c r="J107" s="10">
        <v>6</v>
      </c>
      <c r="K107" s="10">
        <v>0</v>
      </c>
      <c r="L107" s="10">
        <v>4</v>
      </c>
      <c r="M107" s="10">
        <v>11</v>
      </c>
      <c r="N107" s="10">
        <v>45</v>
      </c>
      <c r="O107" s="8">
        <v>5</v>
      </c>
      <c r="P107" s="8">
        <v>5</v>
      </c>
      <c r="Q107" s="9">
        <v>152</v>
      </c>
      <c r="R107" s="9">
        <v>23</v>
      </c>
      <c r="S107" s="8">
        <v>0</v>
      </c>
      <c r="T107" s="8">
        <v>3</v>
      </c>
      <c r="U107" s="8">
        <v>2</v>
      </c>
      <c r="V107" s="8">
        <v>7</v>
      </c>
      <c r="W107" s="7">
        <f t="shared" si="16"/>
        <v>44</v>
      </c>
      <c r="X107" s="7">
        <f t="shared" si="17"/>
        <v>0</v>
      </c>
      <c r="Y107" s="7">
        <f t="shared" si="18"/>
        <v>13</v>
      </c>
      <c r="Z107" s="7">
        <f t="shared" si="19"/>
        <v>52</v>
      </c>
      <c r="AA107" s="6">
        <f t="shared" si="20"/>
        <v>1.1818181818181819</v>
      </c>
    </row>
    <row r="108" spans="1:27" ht="26.4" x14ac:dyDescent="0.25">
      <c r="A108" s="9"/>
      <c r="B108" s="14" t="s">
        <v>46</v>
      </c>
      <c r="C108" s="10">
        <v>502</v>
      </c>
      <c r="D108" s="10">
        <v>83417</v>
      </c>
      <c r="E108" s="12" t="s">
        <v>42</v>
      </c>
      <c r="F108" s="11" t="s">
        <v>21</v>
      </c>
      <c r="G108" s="10">
        <v>30</v>
      </c>
      <c r="H108" s="10">
        <v>10</v>
      </c>
      <c r="I108" s="10">
        <v>0</v>
      </c>
      <c r="J108" s="10">
        <v>0</v>
      </c>
      <c r="K108" s="10">
        <v>17</v>
      </c>
      <c r="L108" s="10">
        <v>10</v>
      </c>
      <c r="M108" s="10">
        <v>10</v>
      </c>
      <c r="N108" s="10">
        <v>13</v>
      </c>
      <c r="O108" s="8">
        <v>10</v>
      </c>
      <c r="P108" s="8">
        <v>5</v>
      </c>
      <c r="Q108" s="9">
        <v>77</v>
      </c>
      <c r="R108" s="9">
        <v>7</v>
      </c>
      <c r="S108" s="8">
        <v>0</v>
      </c>
      <c r="T108" s="8">
        <v>4</v>
      </c>
      <c r="U108" s="8">
        <v>4</v>
      </c>
      <c r="V108" s="8">
        <v>11</v>
      </c>
      <c r="W108" s="7">
        <f t="shared" si="16"/>
        <v>40</v>
      </c>
      <c r="X108" s="7">
        <f t="shared" si="17"/>
        <v>17</v>
      </c>
      <c r="Y108" s="7">
        <f t="shared" si="18"/>
        <v>14</v>
      </c>
      <c r="Z108" s="7">
        <f t="shared" si="19"/>
        <v>24</v>
      </c>
      <c r="AA108" s="6">
        <f t="shared" si="20"/>
        <v>0.6</v>
      </c>
    </row>
    <row r="109" spans="1:27" ht="26.4" x14ac:dyDescent="0.25">
      <c r="A109" s="9"/>
      <c r="B109" s="14" t="s">
        <v>46</v>
      </c>
      <c r="C109" s="10">
        <v>503</v>
      </c>
      <c r="D109" s="10">
        <v>1400199</v>
      </c>
      <c r="E109" s="12" t="s">
        <v>22</v>
      </c>
      <c r="F109" s="11" t="s">
        <v>21</v>
      </c>
      <c r="G109" s="10">
        <v>30</v>
      </c>
      <c r="H109" s="10">
        <v>10</v>
      </c>
      <c r="I109" s="10">
        <v>0</v>
      </c>
      <c r="J109" s="10">
        <v>0</v>
      </c>
      <c r="K109" s="10">
        <v>17</v>
      </c>
      <c r="L109" s="10">
        <v>10</v>
      </c>
      <c r="M109" s="10">
        <v>0</v>
      </c>
      <c r="N109" s="10">
        <v>13</v>
      </c>
      <c r="O109" s="8">
        <v>10</v>
      </c>
      <c r="P109" s="8">
        <v>5</v>
      </c>
      <c r="Q109" s="9">
        <v>71</v>
      </c>
      <c r="R109" s="9">
        <v>3</v>
      </c>
      <c r="S109" s="8">
        <v>5</v>
      </c>
      <c r="T109" s="8">
        <v>4</v>
      </c>
      <c r="U109" s="8">
        <v>7</v>
      </c>
      <c r="V109" s="8">
        <v>6</v>
      </c>
      <c r="W109" s="7">
        <f t="shared" si="16"/>
        <v>40</v>
      </c>
      <c r="X109" s="7">
        <f t="shared" si="17"/>
        <v>22</v>
      </c>
      <c r="Y109" s="7">
        <f t="shared" si="18"/>
        <v>7</v>
      </c>
      <c r="Z109" s="7">
        <f t="shared" si="19"/>
        <v>19</v>
      </c>
      <c r="AA109" s="6">
        <f t="shared" si="20"/>
        <v>0.47499999999999998</v>
      </c>
    </row>
    <row r="110" spans="1:27" ht="26.4" x14ac:dyDescent="0.25">
      <c r="A110" s="9"/>
      <c r="B110" s="14" t="s">
        <v>44</v>
      </c>
      <c r="C110" s="10">
        <v>521</v>
      </c>
      <c r="D110" s="10">
        <v>1268539</v>
      </c>
      <c r="E110" s="12" t="s">
        <v>8</v>
      </c>
      <c r="F110" s="11" t="s">
        <v>28</v>
      </c>
      <c r="G110" s="10">
        <v>25</v>
      </c>
      <c r="H110" s="10">
        <v>5</v>
      </c>
      <c r="I110" s="10">
        <v>0</v>
      </c>
      <c r="J110" s="10">
        <v>0</v>
      </c>
      <c r="K110" s="10">
        <v>19</v>
      </c>
      <c r="L110" s="10">
        <v>5</v>
      </c>
      <c r="M110" s="10">
        <v>0</v>
      </c>
      <c r="N110" s="10">
        <v>6</v>
      </c>
      <c r="O110" s="8">
        <v>15</v>
      </c>
      <c r="P110" s="8">
        <v>5</v>
      </c>
      <c r="Q110" s="9">
        <v>102</v>
      </c>
      <c r="R110" s="9">
        <v>6</v>
      </c>
      <c r="S110" s="8">
        <v>4</v>
      </c>
      <c r="T110" s="8">
        <v>3</v>
      </c>
      <c r="U110" s="8">
        <v>8</v>
      </c>
      <c r="V110" s="8">
        <v>13</v>
      </c>
      <c r="W110" s="7">
        <f t="shared" si="16"/>
        <v>40</v>
      </c>
      <c r="X110" s="7">
        <f t="shared" si="17"/>
        <v>23</v>
      </c>
      <c r="Y110" s="7">
        <f t="shared" si="18"/>
        <v>8</v>
      </c>
      <c r="Z110" s="7">
        <f t="shared" si="19"/>
        <v>19</v>
      </c>
      <c r="AA110" s="6">
        <f t="shared" si="20"/>
        <v>0.47499999999999998</v>
      </c>
    </row>
    <row r="111" spans="1:27" ht="26.4" x14ac:dyDescent="0.25">
      <c r="A111" s="9"/>
      <c r="B111" s="14" t="s">
        <v>44</v>
      </c>
      <c r="C111" s="10">
        <v>522</v>
      </c>
      <c r="D111" s="10">
        <v>92400</v>
      </c>
      <c r="E111" s="12" t="s">
        <v>45</v>
      </c>
      <c r="F111" s="11" t="s">
        <v>28</v>
      </c>
      <c r="G111" s="10">
        <v>20</v>
      </c>
      <c r="H111" s="10">
        <v>5</v>
      </c>
      <c r="I111" s="10">
        <v>0</v>
      </c>
      <c r="J111" s="10">
        <v>0</v>
      </c>
      <c r="K111" s="10">
        <v>16</v>
      </c>
      <c r="L111" s="10">
        <v>5</v>
      </c>
      <c r="M111" s="10">
        <v>0</v>
      </c>
      <c r="N111" s="10">
        <v>4</v>
      </c>
      <c r="O111" s="8">
        <v>10</v>
      </c>
      <c r="P111" s="8">
        <v>5</v>
      </c>
      <c r="Q111" s="9">
        <v>25</v>
      </c>
      <c r="R111" s="9">
        <v>2</v>
      </c>
      <c r="S111" s="8">
        <v>1</v>
      </c>
      <c r="T111" s="8">
        <v>4</v>
      </c>
      <c r="U111" s="8">
        <v>2</v>
      </c>
      <c r="V111" s="8">
        <v>10</v>
      </c>
      <c r="W111" s="7">
        <f t="shared" si="16"/>
        <v>30</v>
      </c>
      <c r="X111" s="7">
        <f t="shared" si="17"/>
        <v>17</v>
      </c>
      <c r="Y111" s="7">
        <f t="shared" si="18"/>
        <v>2</v>
      </c>
      <c r="Z111" s="7">
        <f t="shared" si="19"/>
        <v>14</v>
      </c>
      <c r="AA111" s="6">
        <f t="shared" si="20"/>
        <v>0.46666666666666667</v>
      </c>
    </row>
    <row r="112" spans="1:27" ht="26.4" x14ac:dyDescent="0.25">
      <c r="A112" s="9"/>
      <c r="B112" s="14" t="s">
        <v>44</v>
      </c>
      <c r="C112" s="10">
        <v>523</v>
      </c>
      <c r="D112" s="10">
        <v>83150</v>
      </c>
      <c r="E112" s="12" t="s">
        <v>32</v>
      </c>
      <c r="F112" s="11" t="s">
        <v>30</v>
      </c>
      <c r="G112" s="10">
        <v>25</v>
      </c>
      <c r="H112" s="10">
        <v>5</v>
      </c>
      <c r="I112" s="10">
        <v>0</v>
      </c>
      <c r="J112" s="10">
        <v>0</v>
      </c>
      <c r="K112" s="10">
        <v>24</v>
      </c>
      <c r="L112" s="10">
        <v>5</v>
      </c>
      <c r="M112" s="10">
        <v>0</v>
      </c>
      <c r="N112" s="10">
        <v>1</v>
      </c>
      <c r="O112" s="8">
        <v>15</v>
      </c>
      <c r="P112" s="8">
        <v>5</v>
      </c>
      <c r="Q112" s="9">
        <v>35</v>
      </c>
      <c r="R112" s="9">
        <v>2</v>
      </c>
      <c r="S112" s="8">
        <v>3</v>
      </c>
      <c r="T112" s="8">
        <v>5</v>
      </c>
      <c r="U112" s="8">
        <v>3</v>
      </c>
      <c r="V112" s="8">
        <v>12</v>
      </c>
      <c r="W112" s="7">
        <f t="shared" si="16"/>
        <v>40</v>
      </c>
      <c r="X112" s="7">
        <f t="shared" si="17"/>
        <v>27</v>
      </c>
      <c r="Y112" s="7">
        <f t="shared" si="18"/>
        <v>3</v>
      </c>
      <c r="Z112" s="7">
        <f t="shared" si="19"/>
        <v>13</v>
      </c>
      <c r="AA112" s="6">
        <f t="shared" si="20"/>
        <v>0.32500000000000001</v>
      </c>
    </row>
    <row r="113" spans="1:27" ht="26.4" x14ac:dyDescent="0.25">
      <c r="A113" s="9"/>
      <c r="B113" s="14" t="s">
        <v>44</v>
      </c>
      <c r="C113" s="10">
        <v>524</v>
      </c>
      <c r="D113" s="10">
        <v>123823</v>
      </c>
      <c r="E113" s="12" t="s">
        <v>43</v>
      </c>
      <c r="F113" s="11" t="s">
        <v>28</v>
      </c>
      <c r="G113" s="10">
        <v>25</v>
      </c>
      <c r="H113" s="10">
        <v>5</v>
      </c>
      <c r="I113" s="10">
        <v>0</v>
      </c>
      <c r="J113" s="10">
        <v>0</v>
      </c>
      <c r="K113" s="10">
        <v>24</v>
      </c>
      <c r="L113" s="10">
        <v>5</v>
      </c>
      <c r="M113" s="10">
        <v>0</v>
      </c>
      <c r="N113" s="10">
        <v>1</v>
      </c>
      <c r="O113" s="8">
        <v>15</v>
      </c>
      <c r="P113" s="8">
        <v>5</v>
      </c>
      <c r="Q113" s="9">
        <v>46</v>
      </c>
      <c r="R113" s="9">
        <v>2</v>
      </c>
      <c r="S113" s="8">
        <v>9</v>
      </c>
      <c r="T113" s="8">
        <v>5</v>
      </c>
      <c r="U113" s="8">
        <v>11</v>
      </c>
      <c r="V113" s="8">
        <v>6</v>
      </c>
      <c r="W113" s="7">
        <f t="shared" si="16"/>
        <v>40</v>
      </c>
      <c r="X113" s="7">
        <f t="shared" si="17"/>
        <v>33</v>
      </c>
      <c r="Y113" s="7">
        <f t="shared" si="18"/>
        <v>11</v>
      </c>
      <c r="Z113" s="7">
        <f t="shared" si="19"/>
        <v>7</v>
      </c>
      <c r="AA113" s="6">
        <f t="shared" si="20"/>
        <v>0.17499999999999999</v>
      </c>
    </row>
    <row r="114" spans="1:27" x14ac:dyDescent="0.25">
      <c r="A114" s="9"/>
      <c r="B114" s="14" t="s">
        <v>41</v>
      </c>
      <c r="C114" s="10">
        <v>542</v>
      </c>
      <c r="D114" s="10" t="s">
        <v>0</v>
      </c>
      <c r="E114" s="12" t="s">
        <v>42</v>
      </c>
      <c r="F114" s="11" t="s">
        <v>21</v>
      </c>
      <c r="G114" s="10">
        <v>50</v>
      </c>
      <c r="H114" s="10">
        <v>15</v>
      </c>
      <c r="I114" s="10">
        <v>0</v>
      </c>
      <c r="J114" s="10">
        <v>0</v>
      </c>
      <c r="K114" s="10">
        <v>31</v>
      </c>
      <c r="L114" s="10">
        <v>15</v>
      </c>
      <c r="M114" s="10">
        <v>6</v>
      </c>
      <c r="N114" s="10">
        <v>19</v>
      </c>
      <c r="O114" s="8" t="s">
        <v>0</v>
      </c>
      <c r="P114" s="9" t="s">
        <v>0</v>
      </c>
      <c r="Q114" s="9" t="s">
        <v>0</v>
      </c>
      <c r="R114" s="9" t="s">
        <v>0</v>
      </c>
      <c r="S114" s="8">
        <v>0</v>
      </c>
      <c r="T114" s="8">
        <v>0</v>
      </c>
      <c r="U114" s="8" t="s">
        <v>0</v>
      </c>
      <c r="V114" s="8">
        <v>0</v>
      </c>
      <c r="W114" s="7">
        <f>G114</f>
        <v>50</v>
      </c>
      <c r="X114" s="7">
        <f>K114</f>
        <v>31</v>
      </c>
      <c r="Y114" s="7">
        <f t="shared" ref="Y114:Z116" si="21">M114</f>
        <v>6</v>
      </c>
      <c r="Z114" s="7">
        <f t="shared" si="21"/>
        <v>19</v>
      </c>
      <c r="AA114" s="6">
        <f t="shared" si="20"/>
        <v>0.38</v>
      </c>
    </row>
    <row r="115" spans="1:27" x14ac:dyDescent="0.25">
      <c r="A115" s="9"/>
      <c r="B115" s="14" t="s">
        <v>41</v>
      </c>
      <c r="C115" s="10">
        <v>543</v>
      </c>
      <c r="D115" s="10" t="s">
        <v>0</v>
      </c>
      <c r="E115" s="12" t="s">
        <v>42</v>
      </c>
      <c r="F115" s="11" t="s">
        <v>28</v>
      </c>
      <c r="G115" s="10">
        <v>50</v>
      </c>
      <c r="H115" s="10">
        <v>15</v>
      </c>
      <c r="I115" s="10">
        <v>0</v>
      </c>
      <c r="J115" s="10">
        <v>0</v>
      </c>
      <c r="K115" s="10">
        <v>22</v>
      </c>
      <c r="L115" s="10">
        <v>15</v>
      </c>
      <c r="M115" s="10">
        <v>0</v>
      </c>
      <c r="N115" s="10">
        <v>28</v>
      </c>
      <c r="O115" s="8" t="s">
        <v>0</v>
      </c>
      <c r="P115" s="9" t="s">
        <v>0</v>
      </c>
      <c r="Q115" s="9" t="s">
        <v>0</v>
      </c>
      <c r="R115" s="9" t="s">
        <v>0</v>
      </c>
      <c r="S115" s="8">
        <v>0</v>
      </c>
      <c r="T115" s="8">
        <v>0</v>
      </c>
      <c r="U115" s="8" t="s">
        <v>0</v>
      </c>
      <c r="V115" s="8">
        <v>0</v>
      </c>
      <c r="W115" s="7">
        <f>G115</f>
        <v>50</v>
      </c>
      <c r="X115" s="7">
        <f>K115</f>
        <v>22</v>
      </c>
      <c r="Y115" s="7">
        <f t="shared" si="21"/>
        <v>0</v>
      </c>
      <c r="Z115" s="7">
        <f t="shared" si="21"/>
        <v>28</v>
      </c>
      <c r="AA115" s="6">
        <f t="shared" si="20"/>
        <v>0.56000000000000005</v>
      </c>
    </row>
    <row r="116" spans="1:27" x14ac:dyDescent="0.25">
      <c r="A116" s="9"/>
      <c r="B116" s="14" t="s">
        <v>41</v>
      </c>
      <c r="C116" s="10">
        <v>546</v>
      </c>
      <c r="D116" s="10" t="s">
        <v>0</v>
      </c>
      <c r="E116" s="12" t="s">
        <v>40</v>
      </c>
      <c r="F116" s="11" t="s">
        <v>30</v>
      </c>
      <c r="G116" s="10">
        <v>50</v>
      </c>
      <c r="H116" s="10">
        <v>15</v>
      </c>
      <c r="I116" s="10">
        <v>135</v>
      </c>
      <c r="J116" s="10">
        <v>0</v>
      </c>
      <c r="K116" s="10">
        <v>5</v>
      </c>
      <c r="L116" s="10">
        <v>14</v>
      </c>
      <c r="M116" s="10">
        <v>12</v>
      </c>
      <c r="N116" s="10">
        <v>46</v>
      </c>
      <c r="O116" s="8" t="s">
        <v>0</v>
      </c>
      <c r="P116" s="9" t="s">
        <v>0</v>
      </c>
      <c r="Q116" s="9" t="s">
        <v>0</v>
      </c>
      <c r="R116" s="9" t="s">
        <v>0</v>
      </c>
      <c r="S116" s="8">
        <v>0</v>
      </c>
      <c r="T116" s="8">
        <v>0</v>
      </c>
      <c r="U116" s="8" t="s">
        <v>0</v>
      </c>
      <c r="V116" s="8">
        <v>0</v>
      </c>
      <c r="W116" s="7">
        <f>G116</f>
        <v>50</v>
      </c>
      <c r="X116" s="7">
        <f>K116</f>
        <v>5</v>
      </c>
      <c r="Y116" s="7">
        <f t="shared" si="21"/>
        <v>12</v>
      </c>
      <c r="Z116" s="7">
        <f t="shared" si="21"/>
        <v>46</v>
      </c>
      <c r="AA116" s="6">
        <f t="shared" si="20"/>
        <v>0.92</v>
      </c>
    </row>
    <row r="117" spans="1:27" x14ac:dyDescent="0.25">
      <c r="A117" s="9"/>
      <c r="B117" s="14" t="s">
        <v>39</v>
      </c>
      <c r="C117" s="10">
        <v>561</v>
      </c>
      <c r="D117" s="10">
        <v>1188474</v>
      </c>
      <c r="E117" s="12" t="s">
        <v>40</v>
      </c>
      <c r="F117" s="11" t="s">
        <v>30</v>
      </c>
      <c r="G117" s="10">
        <v>40</v>
      </c>
      <c r="H117" s="10">
        <v>10</v>
      </c>
      <c r="I117" s="10">
        <v>165</v>
      </c>
      <c r="J117" s="10">
        <v>0</v>
      </c>
      <c r="K117" s="10">
        <v>6</v>
      </c>
      <c r="L117" s="10">
        <v>8</v>
      </c>
      <c r="M117" s="10">
        <v>11</v>
      </c>
      <c r="N117" s="10">
        <v>36</v>
      </c>
      <c r="O117" s="8">
        <v>10</v>
      </c>
      <c r="P117" s="8">
        <v>5</v>
      </c>
      <c r="Q117" s="9">
        <v>138</v>
      </c>
      <c r="R117" s="9">
        <v>19</v>
      </c>
      <c r="S117" s="8">
        <v>3</v>
      </c>
      <c r="T117" s="8">
        <v>4</v>
      </c>
      <c r="U117" s="8">
        <v>8</v>
      </c>
      <c r="V117" s="8">
        <v>8</v>
      </c>
      <c r="W117" s="7">
        <f t="shared" ref="W117:W131" si="22">G117+O117</f>
        <v>50</v>
      </c>
      <c r="X117" s="7">
        <f t="shared" ref="X117:X131" si="23">K117+S117</f>
        <v>9</v>
      </c>
      <c r="Y117" s="7">
        <f t="shared" ref="Y117:Y131" si="24">M117+U117</f>
        <v>19</v>
      </c>
      <c r="Z117" s="7">
        <f t="shared" ref="Z117:Z131" si="25">N117+V117</f>
        <v>44</v>
      </c>
      <c r="AA117" s="6">
        <f t="shared" si="20"/>
        <v>0.88</v>
      </c>
    </row>
    <row r="118" spans="1:27" ht="26.4" x14ac:dyDescent="0.25">
      <c r="A118" s="9"/>
      <c r="B118" s="14" t="s">
        <v>39</v>
      </c>
      <c r="C118" s="10">
        <v>562</v>
      </c>
      <c r="D118" s="10">
        <v>83226</v>
      </c>
      <c r="E118" s="12" t="s">
        <v>32</v>
      </c>
      <c r="F118" s="11" t="s">
        <v>28</v>
      </c>
      <c r="G118" s="10">
        <v>30</v>
      </c>
      <c r="H118" s="10">
        <v>10</v>
      </c>
      <c r="I118" s="10">
        <v>0</v>
      </c>
      <c r="J118" s="10">
        <v>0</v>
      </c>
      <c r="K118" s="10">
        <v>12</v>
      </c>
      <c r="L118" s="10">
        <v>10</v>
      </c>
      <c r="M118" s="10">
        <v>15</v>
      </c>
      <c r="N118" s="10">
        <v>18</v>
      </c>
      <c r="O118" s="8">
        <v>10</v>
      </c>
      <c r="P118" s="8">
        <v>5</v>
      </c>
      <c r="Q118" s="9">
        <v>51</v>
      </c>
      <c r="R118" s="9">
        <v>5</v>
      </c>
      <c r="S118" s="8">
        <v>4</v>
      </c>
      <c r="T118" s="8">
        <v>4</v>
      </c>
      <c r="U118" s="8">
        <v>4</v>
      </c>
      <c r="V118" s="8">
        <v>7</v>
      </c>
      <c r="W118" s="7">
        <f t="shared" si="22"/>
        <v>40</v>
      </c>
      <c r="X118" s="7">
        <f t="shared" si="23"/>
        <v>16</v>
      </c>
      <c r="Y118" s="7">
        <f t="shared" si="24"/>
        <v>19</v>
      </c>
      <c r="Z118" s="7">
        <f t="shared" si="25"/>
        <v>25</v>
      </c>
      <c r="AA118" s="6">
        <f t="shared" si="20"/>
        <v>0.625</v>
      </c>
    </row>
    <row r="119" spans="1:27" x14ac:dyDescent="0.25">
      <c r="A119" s="9"/>
      <c r="B119" s="14" t="s">
        <v>39</v>
      </c>
      <c r="C119" s="10">
        <v>563</v>
      </c>
      <c r="D119" s="10">
        <v>1442969</v>
      </c>
      <c r="E119" s="12" t="s">
        <v>22</v>
      </c>
      <c r="F119" s="11" t="s">
        <v>21</v>
      </c>
      <c r="G119" s="10">
        <v>30</v>
      </c>
      <c r="H119" s="10">
        <v>10</v>
      </c>
      <c r="I119" s="10">
        <v>0</v>
      </c>
      <c r="J119" s="10">
        <v>0</v>
      </c>
      <c r="K119" s="10">
        <v>14</v>
      </c>
      <c r="L119" s="10">
        <v>10</v>
      </c>
      <c r="M119" s="10">
        <v>13</v>
      </c>
      <c r="N119" s="10">
        <v>16</v>
      </c>
      <c r="O119" s="8">
        <v>10</v>
      </c>
      <c r="P119" s="8">
        <v>5</v>
      </c>
      <c r="Q119" s="9">
        <v>85</v>
      </c>
      <c r="R119" s="9">
        <v>9</v>
      </c>
      <c r="S119" s="8">
        <v>2</v>
      </c>
      <c r="T119" s="8">
        <v>4</v>
      </c>
      <c r="U119" s="8">
        <v>3</v>
      </c>
      <c r="V119" s="8">
        <v>9</v>
      </c>
      <c r="W119" s="7">
        <f t="shared" si="22"/>
        <v>40</v>
      </c>
      <c r="X119" s="7">
        <f t="shared" si="23"/>
        <v>16</v>
      </c>
      <c r="Y119" s="7">
        <f t="shared" si="24"/>
        <v>16</v>
      </c>
      <c r="Z119" s="7">
        <f t="shared" si="25"/>
        <v>25</v>
      </c>
      <c r="AA119" s="6">
        <f t="shared" si="20"/>
        <v>0.625</v>
      </c>
    </row>
    <row r="120" spans="1:27" x14ac:dyDescent="0.25">
      <c r="A120" s="9"/>
      <c r="B120" s="14" t="s">
        <v>37</v>
      </c>
      <c r="C120" s="10">
        <v>581</v>
      </c>
      <c r="D120" s="10">
        <v>1342685</v>
      </c>
      <c r="E120" s="12" t="s">
        <v>8</v>
      </c>
      <c r="F120" s="11" t="s">
        <v>28</v>
      </c>
      <c r="G120" s="10">
        <v>30</v>
      </c>
      <c r="H120" s="10">
        <v>10</v>
      </c>
      <c r="I120" s="10">
        <v>0</v>
      </c>
      <c r="J120" s="10">
        <v>0</v>
      </c>
      <c r="K120" s="10">
        <v>20</v>
      </c>
      <c r="L120" s="10">
        <v>10</v>
      </c>
      <c r="M120" s="10">
        <v>0</v>
      </c>
      <c r="N120" s="10">
        <v>10</v>
      </c>
      <c r="O120" s="8">
        <v>10</v>
      </c>
      <c r="P120" s="8">
        <v>5</v>
      </c>
      <c r="Q120" s="9">
        <v>70</v>
      </c>
      <c r="R120" s="9">
        <v>5</v>
      </c>
      <c r="S120" s="8">
        <v>7</v>
      </c>
      <c r="T120" s="8">
        <v>4</v>
      </c>
      <c r="U120" s="8">
        <v>9</v>
      </c>
      <c r="V120" s="8">
        <v>4</v>
      </c>
      <c r="W120" s="7">
        <f t="shared" si="22"/>
        <v>40</v>
      </c>
      <c r="X120" s="7">
        <f t="shared" si="23"/>
        <v>27</v>
      </c>
      <c r="Y120" s="7">
        <f t="shared" si="24"/>
        <v>9</v>
      </c>
      <c r="Z120" s="7">
        <f t="shared" si="25"/>
        <v>14</v>
      </c>
      <c r="AA120" s="6">
        <f t="shared" si="20"/>
        <v>0.35</v>
      </c>
    </row>
    <row r="121" spans="1:27" ht="26.4" x14ac:dyDescent="0.25">
      <c r="A121" s="9"/>
      <c r="B121" s="14" t="s">
        <v>37</v>
      </c>
      <c r="C121" s="10">
        <v>582</v>
      </c>
      <c r="D121" s="10">
        <v>1516691</v>
      </c>
      <c r="E121" s="12" t="s">
        <v>38</v>
      </c>
      <c r="F121" s="11" t="s">
        <v>24</v>
      </c>
      <c r="G121" s="10">
        <v>30</v>
      </c>
      <c r="H121" s="10">
        <v>10</v>
      </c>
      <c r="I121" s="10">
        <v>0</v>
      </c>
      <c r="J121" s="10">
        <v>0</v>
      </c>
      <c r="K121" s="10">
        <v>26</v>
      </c>
      <c r="L121" s="10">
        <v>10</v>
      </c>
      <c r="M121" s="10">
        <v>0</v>
      </c>
      <c r="N121" s="10">
        <v>4</v>
      </c>
      <c r="O121" s="8">
        <v>10</v>
      </c>
      <c r="P121" s="8">
        <v>5</v>
      </c>
      <c r="Q121" s="9">
        <v>29</v>
      </c>
      <c r="R121" s="9">
        <v>3</v>
      </c>
      <c r="S121" s="8">
        <v>7</v>
      </c>
      <c r="T121" s="8">
        <v>5</v>
      </c>
      <c r="U121" s="8">
        <v>8</v>
      </c>
      <c r="V121" s="8">
        <v>3</v>
      </c>
      <c r="W121" s="7">
        <f t="shared" si="22"/>
        <v>40</v>
      </c>
      <c r="X121" s="7">
        <f t="shared" si="23"/>
        <v>33</v>
      </c>
      <c r="Y121" s="7">
        <f t="shared" si="24"/>
        <v>8</v>
      </c>
      <c r="Z121" s="7">
        <f t="shared" si="25"/>
        <v>7</v>
      </c>
      <c r="AA121" s="6">
        <f t="shared" si="20"/>
        <v>0.17499999999999999</v>
      </c>
    </row>
    <row r="122" spans="1:27" ht="26.4" x14ac:dyDescent="0.25">
      <c r="A122" s="9"/>
      <c r="B122" s="14" t="s">
        <v>37</v>
      </c>
      <c r="C122" s="10">
        <v>583</v>
      </c>
      <c r="D122" s="10">
        <v>83137</v>
      </c>
      <c r="E122" s="12" t="s">
        <v>36</v>
      </c>
      <c r="F122" s="11" t="s">
        <v>30</v>
      </c>
      <c r="G122" s="10">
        <v>30</v>
      </c>
      <c r="H122" s="10">
        <v>10</v>
      </c>
      <c r="I122" s="10">
        <v>0</v>
      </c>
      <c r="J122" s="10">
        <v>0</v>
      </c>
      <c r="K122" s="10">
        <v>26</v>
      </c>
      <c r="L122" s="10">
        <v>10</v>
      </c>
      <c r="M122" s="10">
        <v>0</v>
      </c>
      <c r="N122" s="10">
        <v>4</v>
      </c>
      <c r="O122" s="8">
        <v>30</v>
      </c>
      <c r="P122" s="8">
        <v>10</v>
      </c>
      <c r="Q122" s="9">
        <v>73</v>
      </c>
      <c r="R122" s="9">
        <v>5</v>
      </c>
      <c r="S122" s="8">
        <v>4</v>
      </c>
      <c r="T122" s="8">
        <v>10</v>
      </c>
      <c r="U122" s="8">
        <v>10</v>
      </c>
      <c r="V122" s="8">
        <v>26</v>
      </c>
      <c r="W122" s="7">
        <f t="shared" si="22"/>
        <v>60</v>
      </c>
      <c r="X122" s="7">
        <f t="shared" si="23"/>
        <v>30</v>
      </c>
      <c r="Y122" s="7">
        <f t="shared" si="24"/>
        <v>10</v>
      </c>
      <c r="Z122" s="7">
        <f t="shared" si="25"/>
        <v>30</v>
      </c>
      <c r="AA122" s="6">
        <f t="shared" si="20"/>
        <v>0.5</v>
      </c>
    </row>
    <row r="123" spans="1:27" ht="26.4" x14ac:dyDescent="0.25">
      <c r="A123" s="9"/>
      <c r="B123" s="14" t="s">
        <v>34</v>
      </c>
      <c r="C123" s="10">
        <v>601</v>
      </c>
      <c r="D123" s="10">
        <v>1188485</v>
      </c>
      <c r="E123" s="12" t="s">
        <v>35</v>
      </c>
      <c r="F123" s="11" t="s">
        <v>24</v>
      </c>
      <c r="G123" s="10">
        <v>20</v>
      </c>
      <c r="H123" s="10">
        <v>5</v>
      </c>
      <c r="I123" s="10">
        <v>25</v>
      </c>
      <c r="J123" s="10">
        <v>0</v>
      </c>
      <c r="K123" s="10">
        <v>3</v>
      </c>
      <c r="L123" s="10">
        <v>2</v>
      </c>
      <c r="M123" s="10">
        <v>10</v>
      </c>
      <c r="N123" s="10">
        <v>20</v>
      </c>
      <c r="O123" s="8">
        <v>10</v>
      </c>
      <c r="P123" s="8">
        <v>5</v>
      </c>
      <c r="Q123" s="9">
        <v>50</v>
      </c>
      <c r="R123" s="9">
        <v>3</v>
      </c>
      <c r="S123" s="8">
        <v>3</v>
      </c>
      <c r="T123" s="8">
        <v>5</v>
      </c>
      <c r="U123" s="8">
        <v>3</v>
      </c>
      <c r="V123" s="8">
        <v>7</v>
      </c>
      <c r="W123" s="7">
        <f t="shared" si="22"/>
        <v>30</v>
      </c>
      <c r="X123" s="7">
        <f t="shared" si="23"/>
        <v>6</v>
      </c>
      <c r="Y123" s="7">
        <f t="shared" si="24"/>
        <v>13</v>
      </c>
      <c r="Z123" s="7">
        <f t="shared" si="25"/>
        <v>27</v>
      </c>
      <c r="AA123" s="6">
        <f t="shared" si="20"/>
        <v>0.9</v>
      </c>
    </row>
    <row r="124" spans="1:27" ht="26.4" x14ac:dyDescent="0.25">
      <c r="A124" s="9"/>
      <c r="B124" s="14" t="s">
        <v>34</v>
      </c>
      <c r="C124" s="10">
        <v>602</v>
      </c>
      <c r="D124" s="10">
        <v>83152</v>
      </c>
      <c r="E124" s="12" t="s">
        <v>32</v>
      </c>
      <c r="F124" s="11" t="s">
        <v>30</v>
      </c>
      <c r="G124" s="10">
        <v>30</v>
      </c>
      <c r="H124" s="10">
        <v>10</v>
      </c>
      <c r="I124" s="10">
        <v>0</v>
      </c>
      <c r="J124" s="10">
        <v>0</v>
      </c>
      <c r="K124" s="10">
        <v>13</v>
      </c>
      <c r="L124" s="10">
        <v>10</v>
      </c>
      <c r="M124" s="10">
        <v>14</v>
      </c>
      <c r="N124" s="10">
        <v>17</v>
      </c>
      <c r="O124" s="8">
        <v>10</v>
      </c>
      <c r="P124" s="8">
        <v>5</v>
      </c>
      <c r="Q124" s="9">
        <v>69</v>
      </c>
      <c r="R124" s="9">
        <v>4</v>
      </c>
      <c r="S124" s="8">
        <v>2</v>
      </c>
      <c r="T124" s="8">
        <v>3</v>
      </c>
      <c r="U124" s="8">
        <v>2</v>
      </c>
      <c r="V124" s="8">
        <v>10</v>
      </c>
      <c r="W124" s="7">
        <f t="shared" si="22"/>
        <v>40</v>
      </c>
      <c r="X124" s="7">
        <f t="shared" si="23"/>
        <v>15</v>
      </c>
      <c r="Y124" s="7">
        <f t="shared" si="24"/>
        <v>16</v>
      </c>
      <c r="Z124" s="7">
        <f t="shared" si="25"/>
        <v>27</v>
      </c>
      <c r="AA124" s="6">
        <f t="shared" si="20"/>
        <v>0.67500000000000004</v>
      </c>
    </row>
    <row r="125" spans="1:27" ht="26.4" x14ac:dyDescent="0.25">
      <c r="A125" s="9"/>
      <c r="B125" s="14" t="s">
        <v>29</v>
      </c>
      <c r="C125" s="10">
        <v>624</v>
      </c>
      <c r="D125" s="10">
        <v>1576559</v>
      </c>
      <c r="E125" s="12" t="s">
        <v>33</v>
      </c>
      <c r="F125" s="11" t="s">
        <v>28</v>
      </c>
      <c r="G125" s="10">
        <v>15</v>
      </c>
      <c r="H125" s="10">
        <v>5</v>
      </c>
      <c r="I125" s="10">
        <v>0</v>
      </c>
      <c r="J125" s="10">
        <v>0</v>
      </c>
      <c r="K125" s="10">
        <v>8</v>
      </c>
      <c r="L125" s="10">
        <v>3</v>
      </c>
      <c r="M125" s="10">
        <v>3</v>
      </c>
      <c r="N125" s="10">
        <v>9</v>
      </c>
      <c r="O125" s="8">
        <v>15</v>
      </c>
      <c r="P125" s="8">
        <v>5</v>
      </c>
      <c r="Q125" s="9">
        <v>55</v>
      </c>
      <c r="R125" s="9">
        <v>7</v>
      </c>
      <c r="S125" s="8">
        <v>9</v>
      </c>
      <c r="T125" s="8">
        <v>4</v>
      </c>
      <c r="U125" s="8">
        <v>11</v>
      </c>
      <c r="V125" s="8">
        <v>7</v>
      </c>
      <c r="W125" s="7">
        <f t="shared" si="22"/>
        <v>30</v>
      </c>
      <c r="X125" s="7">
        <f t="shared" si="23"/>
        <v>17</v>
      </c>
      <c r="Y125" s="7">
        <f t="shared" si="24"/>
        <v>14</v>
      </c>
      <c r="Z125" s="7">
        <f t="shared" si="25"/>
        <v>16</v>
      </c>
      <c r="AA125" s="6">
        <f t="shared" si="20"/>
        <v>0.53333333333333333</v>
      </c>
    </row>
    <row r="126" spans="1:27" ht="26.4" x14ac:dyDescent="0.25">
      <c r="A126" s="9"/>
      <c r="B126" s="14" t="s">
        <v>29</v>
      </c>
      <c r="C126" s="10">
        <v>625</v>
      </c>
      <c r="D126" s="10">
        <v>82795</v>
      </c>
      <c r="E126" s="12" t="s">
        <v>32</v>
      </c>
      <c r="F126" s="11" t="s">
        <v>30</v>
      </c>
      <c r="G126" s="10">
        <v>30</v>
      </c>
      <c r="H126" s="10">
        <v>10</v>
      </c>
      <c r="I126" s="10">
        <v>0</v>
      </c>
      <c r="J126" s="10">
        <v>0</v>
      </c>
      <c r="K126" s="10">
        <v>27</v>
      </c>
      <c r="L126" s="10">
        <v>10</v>
      </c>
      <c r="M126" s="10">
        <v>0</v>
      </c>
      <c r="N126" s="10">
        <v>3</v>
      </c>
      <c r="O126" s="8">
        <v>10</v>
      </c>
      <c r="P126" s="8">
        <v>5</v>
      </c>
      <c r="Q126" s="9">
        <v>40</v>
      </c>
      <c r="R126" s="9">
        <v>3</v>
      </c>
      <c r="S126" s="8">
        <v>4</v>
      </c>
      <c r="T126" s="8">
        <v>5</v>
      </c>
      <c r="U126" s="8">
        <v>5</v>
      </c>
      <c r="V126" s="8">
        <v>6</v>
      </c>
      <c r="W126" s="7">
        <f t="shared" si="22"/>
        <v>40</v>
      </c>
      <c r="X126" s="7">
        <f t="shared" si="23"/>
        <v>31</v>
      </c>
      <c r="Y126" s="7">
        <f t="shared" si="24"/>
        <v>5</v>
      </c>
      <c r="Z126" s="7">
        <f t="shared" si="25"/>
        <v>9</v>
      </c>
      <c r="AA126" s="6">
        <f t="shared" si="20"/>
        <v>0.22500000000000001</v>
      </c>
    </row>
    <row r="127" spans="1:27" ht="26.4" x14ac:dyDescent="0.25">
      <c r="A127" s="9"/>
      <c r="B127" s="14" t="s">
        <v>29</v>
      </c>
      <c r="C127" s="10">
        <v>626</v>
      </c>
      <c r="D127" s="10">
        <v>82810</v>
      </c>
      <c r="E127" s="12" t="s">
        <v>31</v>
      </c>
      <c r="F127" s="11" t="s">
        <v>30</v>
      </c>
      <c r="G127" s="10">
        <v>15</v>
      </c>
      <c r="H127" s="10">
        <v>5</v>
      </c>
      <c r="I127" s="10">
        <v>0</v>
      </c>
      <c r="J127" s="10">
        <v>0</v>
      </c>
      <c r="K127" s="10">
        <v>15</v>
      </c>
      <c r="L127" s="10">
        <v>4</v>
      </c>
      <c r="M127" s="10">
        <v>0</v>
      </c>
      <c r="N127" s="10">
        <v>1</v>
      </c>
      <c r="O127" s="8">
        <v>25</v>
      </c>
      <c r="P127" s="8">
        <v>10</v>
      </c>
      <c r="Q127" s="9">
        <v>51</v>
      </c>
      <c r="R127" s="9">
        <v>1</v>
      </c>
      <c r="S127" s="8">
        <v>8</v>
      </c>
      <c r="T127" s="8">
        <v>10</v>
      </c>
      <c r="U127" s="8">
        <v>6</v>
      </c>
      <c r="V127" s="8">
        <v>17</v>
      </c>
      <c r="W127" s="7">
        <f t="shared" si="22"/>
        <v>40</v>
      </c>
      <c r="X127" s="7">
        <f t="shared" si="23"/>
        <v>23</v>
      </c>
      <c r="Y127" s="7">
        <f t="shared" si="24"/>
        <v>6</v>
      </c>
      <c r="Z127" s="7">
        <f t="shared" si="25"/>
        <v>18</v>
      </c>
      <c r="AA127" s="6">
        <f t="shared" si="20"/>
        <v>0.45</v>
      </c>
    </row>
    <row r="128" spans="1:27" x14ac:dyDescent="0.25">
      <c r="A128" s="9"/>
      <c r="B128" s="14" t="s">
        <v>29</v>
      </c>
      <c r="C128" s="10">
        <v>627</v>
      </c>
      <c r="D128" s="10">
        <v>1343136</v>
      </c>
      <c r="E128" s="12" t="s">
        <v>22</v>
      </c>
      <c r="F128" s="11" t="s">
        <v>28</v>
      </c>
      <c r="G128" s="10">
        <v>20</v>
      </c>
      <c r="H128" s="10">
        <v>5</v>
      </c>
      <c r="I128" s="10">
        <v>1</v>
      </c>
      <c r="J128" s="10">
        <v>0</v>
      </c>
      <c r="K128" s="10">
        <v>5</v>
      </c>
      <c r="L128" s="10">
        <v>5</v>
      </c>
      <c r="M128" s="10">
        <v>6</v>
      </c>
      <c r="N128" s="10">
        <v>15</v>
      </c>
      <c r="O128" s="8">
        <v>20</v>
      </c>
      <c r="P128" s="8">
        <v>5</v>
      </c>
      <c r="Q128" s="9">
        <v>111</v>
      </c>
      <c r="R128" s="9">
        <v>9</v>
      </c>
      <c r="S128" s="8">
        <v>7</v>
      </c>
      <c r="T128" s="8">
        <v>4</v>
      </c>
      <c r="U128" s="8">
        <v>8</v>
      </c>
      <c r="V128" s="8">
        <v>14</v>
      </c>
      <c r="W128" s="7">
        <f t="shared" si="22"/>
        <v>40</v>
      </c>
      <c r="X128" s="7">
        <f t="shared" si="23"/>
        <v>12</v>
      </c>
      <c r="Y128" s="7">
        <f t="shared" si="24"/>
        <v>14</v>
      </c>
      <c r="Z128" s="7">
        <f t="shared" si="25"/>
        <v>29</v>
      </c>
      <c r="AA128" s="6">
        <f t="shared" si="20"/>
        <v>0.72499999999999998</v>
      </c>
    </row>
    <row r="129" spans="1:27" ht="26.4" x14ac:dyDescent="0.25">
      <c r="A129" s="9"/>
      <c r="B129" s="14" t="s">
        <v>26</v>
      </c>
      <c r="C129" s="10">
        <v>642</v>
      </c>
      <c r="D129" s="10">
        <v>1166832</v>
      </c>
      <c r="E129" s="12" t="s">
        <v>27</v>
      </c>
      <c r="F129" s="11" t="s">
        <v>24</v>
      </c>
      <c r="G129" s="10">
        <v>20</v>
      </c>
      <c r="H129" s="10">
        <v>5</v>
      </c>
      <c r="I129" s="10">
        <v>0</v>
      </c>
      <c r="J129" s="10">
        <v>0</v>
      </c>
      <c r="K129" s="10">
        <v>17</v>
      </c>
      <c r="L129" s="10">
        <v>5</v>
      </c>
      <c r="M129" s="10">
        <v>0</v>
      </c>
      <c r="N129" s="10">
        <v>3</v>
      </c>
      <c r="O129" s="8">
        <v>20</v>
      </c>
      <c r="P129" s="8">
        <v>5</v>
      </c>
      <c r="Q129" s="9">
        <v>34</v>
      </c>
      <c r="R129" s="9">
        <v>3</v>
      </c>
      <c r="S129" s="8">
        <v>18</v>
      </c>
      <c r="T129" s="8">
        <v>5</v>
      </c>
      <c r="U129" s="8">
        <v>0</v>
      </c>
      <c r="V129" s="8">
        <v>2</v>
      </c>
      <c r="W129" s="7">
        <f t="shared" si="22"/>
        <v>40</v>
      </c>
      <c r="X129" s="7">
        <f t="shared" si="23"/>
        <v>35</v>
      </c>
      <c r="Y129" s="7">
        <f t="shared" si="24"/>
        <v>0</v>
      </c>
      <c r="Z129" s="7">
        <f t="shared" si="25"/>
        <v>5</v>
      </c>
      <c r="AA129" s="6">
        <f t="shared" si="20"/>
        <v>0.125</v>
      </c>
    </row>
    <row r="130" spans="1:27" ht="26.4" x14ac:dyDescent="0.25">
      <c r="A130" s="9"/>
      <c r="B130" s="14" t="s">
        <v>26</v>
      </c>
      <c r="C130" s="10">
        <v>643</v>
      </c>
      <c r="D130" s="10">
        <v>1268596</v>
      </c>
      <c r="E130" s="12" t="s">
        <v>25</v>
      </c>
      <c r="F130" s="11" t="s">
        <v>24</v>
      </c>
      <c r="G130" s="10">
        <v>20</v>
      </c>
      <c r="H130" s="10">
        <v>5</v>
      </c>
      <c r="I130" s="10">
        <v>0</v>
      </c>
      <c r="J130" s="10">
        <v>0</v>
      </c>
      <c r="K130" s="10">
        <v>12</v>
      </c>
      <c r="L130" s="10">
        <v>5</v>
      </c>
      <c r="M130" s="10">
        <v>0</v>
      </c>
      <c r="N130" s="10">
        <v>8</v>
      </c>
      <c r="O130" s="8">
        <v>20</v>
      </c>
      <c r="P130" s="8">
        <v>5</v>
      </c>
      <c r="Q130" s="9">
        <v>41</v>
      </c>
      <c r="R130" s="9">
        <v>2</v>
      </c>
      <c r="S130" s="8">
        <v>8</v>
      </c>
      <c r="T130" s="8">
        <v>5</v>
      </c>
      <c r="U130" s="8">
        <v>4</v>
      </c>
      <c r="V130" s="8">
        <v>12</v>
      </c>
      <c r="W130" s="7">
        <f t="shared" si="22"/>
        <v>40</v>
      </c>
      <c r="X130" s="7">
        <f t="shared" si="23"/>
        <v>20</v>
      </c>
      <c r="Y130" s="7">
        <f t="shared" si="24"/>
        <v>4</v>
      </c>
      <c r="Z130" s="7">
        <f t="shared" si="25"/>
        <v>20</v>
      </c>
      <c r="AA130" s="6">
        <f t="shared" si="20"/>
        <v>0.5</v>
      </c>
    </row>
    <row r="131" spans="1:27" ht="26.4" x14ac:dyDescent="0.25">
      <c r="A131" s="9"/>
      <c r="B131" s="14" t="s">
        <v>23</v>
      </c>
      <c r="C131" s="10">
        <v>650</v>
      </c>
      <c r="D131" s="10">
        <v>1684290</v>
      </c>
      <c r="E131" s="12" t="s">
        <v>22</v>
      </c>
      <c r="F131" s="11" t="s">
        <v>21</v>
      </c>
      <c r="G131" s="10">
        <v>20</v>
      </c>
      <c r="H131" s="10">
        <v>5</v>
      </c>
      <c r="I131" s="10">
        <v>17</v>
      </c>
      <c r="J131" s="10">
        <v>0</v>
      </c>
      <c r="K131" s="10">
        <v>6</v>
      </c>
      <c r="L131" s="10">
        <v>5</v>
      </c>
      <c r="M131" s="10">
        <v>6</v>
      </c>
      <c r="N131" s="10">
        <v>14</v>
      </c>
      <c r="O131" s="8">
        <v>30</v>
      </c>
      <c r="P131" s="8">
        <v>10</v>
      </c>
      <c r="Q131" s="9">
        <v>243</v>
      </c>
      <c r="R131" s="9">
        <v>6</v>
      </c>
      <c r="S131" s="8">
        <v>5</v>
      </c>
      <c r="T131" s="8">
        <v>9</v>
      </c>
      <c r="U131" s="8">
        <v>6</v>
      </c>
      <c r="V131" s="8">
        <v>26</v>
      </c>
      <c r="W131" s="7">
        <f t="shared" si="22"/>
        <v>50</v>
      </c>
      <c r="X131" s="7">
        <f t="shared" si="23"/>
        <v>11</v>
      </c>
      <c r="Y131" s="7">
        <f t="shared" si="24"/>
        <v>12</v>
      </c>
      <c r="Z131" s="7">
        <f t="shared" si="25"/>
        <v>40</v>
      </c>
      <c r="AA131" s="6">
        <f t="shared" si="20"/>
        <v>0.8</v>
      </c>
    </row>
    <row r="132" spans="1:27" ht="26.4" x14ac:dyDescent="0.25">
      <c r="A132" s="9"/>
      <c r="B132" s="13" t="s">
        <v>20</v>
      </c>
      <c r="C132" s="10">
        <v>801</v>
      </c>
      <c r="D132" s="10" t="s">
        <v>0</v>
      </c>
      <c r="E132" s="12" t="s">
        <v>3</v>
      </c>
      <c r="F132" s="11" t="s">
        <v>2</v>
      </c>
      <c r="G132" s="10">
        <v>30</v>
      </c>
      <c r="H132" s="10">
        <v>10</v>
      </c>
      <c r="I132" s="10">
        <v>0</v>
      </c>
      <c r="J132" s="10">
        <v>0</v>
      </c>
      <c r="K132" s="10">
        <v>25</v>
      </c>
      <c r="L132" s="10">
        <v>8</v>
      </c>
      <c r="M132" s="10">
        <v>0</v>
      </c>
      <c r="N132" s="10">
        <v>7</v>
      </c>
      <c r="O132" s="8" t="s">
        <v>0</v>
      </c>
      <c r="P132" s="9" t="s">
        <v>0</v>
      </c>
      <c r="Q132" s="9" t="s">
        <v>0</v>
      </c>
      <c r="R132" s="9" t="s">
        <v>0</v>
      </c>
      <c r="S132" s="8">
        <v>0</v>
      </c>
      <c r="T132" s="8">
        <v>0</v>
      </c>
      <c r="U132" s="8" t="s">
        <v>0</v>
      </c>
      <c r="V132" s="8">
        <v>0</v>
      </c>
      <c r="W132" s="7">
        <f t="shared" ref="W132:W151" si="26">G132</f>
        <v>30</v>
      </c>
      <c r="X132" s="7">
        <f t="shared" ref="X132:X151" si="27">K132</f>
        <v>25</v>
      </c>
      <c r="Y132" s="7">
        <f t="shared" ref="Y132:Y151" si="28">M132</f>
        <v>0</v>
      </c>
      <c r="Z132" s="7">
        <f t="shared" ref="Z132:Z151" si="29">N132</f>
        <v>7</v>
      </c>
      <c r="AA132" s="6">
        <f t="shared" si="20"/>
        <v>0.23333333333333334</v>
      </c>
    </row>
    <row r="133" spans="1:27" x14ac:dyDescent="0.25">
      <c r="A133" s="9"/>
      <c r="B133" s="13" t="s">
        <v>19</v>
      </c>
      <c r="C133" s="10">
        <v>802</v>
      </c>
      <c r="D133" s="10" t="s">
        <v>0</v>
      </c>
      <c r="E133" s="12" t="s">
        <v>10</v>
      </c>
      <c r="F133" s="11" t="s">
        <v>2</v>
      </c>
      <c r="G133" s="10">
        <v>30</v>
      </c>
      <c r="H133" s="10">
        <v>10</v>
      </c>
      <c r="I133" s="10">
        <v>0</v>
      </c>
      <c r="J133" s="10">
        <v>0</v>
      </c>
      <c r="K133" s="10">
        <v>20</v>
      </c>
      <c r="L133" s="10">
        <v>10</v>
      </c>
      <c r="M133" s="10">
        <v>10</v>
      </c>
      <c r="N133" s="10">
        <v>10</v>
      </c>
      <c r="O133" s="8" t="s">
        <v>0</v>
      </c>
      <c r="P133" s="9" t="s">
        <v>0</v>
      </c>
      <c r="Q133" s="9" t="s">
        <v>0</v>
      </c>
      <c r="R133" s="9" t="s">
        <v>0</v>
      </c>
      <c r="S133" s="8">
        <v>0</v>
      </c>
      <c r="T133" s="8">
        <v>0</v>
      </c>
      <c r="U133" s="8" t="s">
        <v>0</v>
      </c>
      <c r="V133" s="8">
        <v>0</v>
      </c>
      <c r="W133" s="7">
        <f t="shared" si="26"/>
        <v>30</v>
      </c>
      <c r="X133" s="7">
        <f t="shared" si="27"/>
        <v>20</v>
      </c>
      <c r="Y133" s="7">
        <f t="shared" si="28"/>
        <v>10</v>
      </c>
      <c r="Z133" s="7">
        <f t="shared" si="29"/>
        <v>10</v>
      </c>
      <c r="AA133" s="6">
        <f t="shared" si="20"/>
        <v>0.33333333333333331</v>
      </c>
    </row>
    <row r="134" spans="1:27" x14ac:dyDescent="0.25">
      <c r="A134" s="9"/>
      <c r="B134" s="13" t="s">
        <v>19</v>
      </c>
      <c r="C134" s="10">
        <v>803</v>
      </c>
      <c r="D134" s="10" t="s">
        <v>0</v>
      </c>
      <c r="E134" s="12" t="s">
        <v>5</v>
      </c>
      <c r="F134" s="11" t="s">
        <v>2</v>
      </c>
      <c r="G134" s="10">
        <v>30</v>
      </c>
      <c r="H134" s="10">
        <v>10</v>
      </c>
      <c r="I134" s="10">
        <v>0</v>
      </c>
      <c r="J134" s="10">
        <v>0</v>
      </c>
      <c r="K134" s="10">
        <v>27</v>
      </c>
      <c r="L134" s="10">
        <v>10</v>
      </c>
      <c r="M134" s="10">
        <v>0</v>
      </c>
      <c r="N134" s="10">
        <v>3</v>
      </c>
      <c r="O134" s="8" t="s">
        <v>0</v>
      </c>
      <c r="P134" s="9" t="s">
        <v>0</v>
      </c>
      <c r="Q134" s="9" t="s">
        <v>0</v>
      </c>
      <c r="R134" s="9" t="s">
        <v>0</v>
      </c>
      <c r="S134" s="8">
        <v>0</v>
      </c>
      <c r="T134" s="8">
        <v>0</v>
      </c>
      <c r="U134" s="8" t="s">
        <v>0</v>
      </c>
      <c r="V134" s="8">
        <v>0</v>
      </c>
      <c r="W134" s="7">
        <f t="shared" si="26"/>
        <v>30</v>
      </c>
      <c r="X134" s="7">
        <f t="shared" si="27"/>
        <v>27</v>
      </c>
      <c r="Y134" s="7">
        <f t="shared" si="28"/>
        <v>0</v>
      </c>
      <c r="Z134" s="7">
        <f t="shared" si="29"/>
        <v>3</v>
      </c>
      <c r="AA134" s="6">
        <f t="shared" si="20"/>
        <v>0.1</v>
      </c>
    </row>
    <row r="135" spans="1:27" x14ac:dyDescent="0.25">
      <c r="A135" s="9"/>
      <c r="B135" s="13" t="s">
        <v>19</v>
      </c>
      <c r="C135" s="10">
        <v>804</v>
      </c>
      <c r="D135" s="10" t="s">
        <v>0</v>
      </c>
      <c r="E135" s="12" t="s">
        <v>3</v>
      </c>
      <c r="F135" s="11" t="s">
        <v>2</v>
      </c>
      <c r="G135" s="10">
        <v>30</v>
      </c>
      <c r="H135" s="10">
        <v>10</v>
      </c>
      <c r="I135" s="10">
        <v>0</v>
      </c>
      <c r="J135" s="10">
        <v>0</v>
      </c>
      <c r="K135" s="10">
        <v>27</v>
      </c>
      <c r="L135" s="10">
        <v>10</v>
      </c>
      <c r="M135" s="10">
        <v>0</v>
      </c>
      <c r="N135" s="10">
        <v>3</v>
      </c>
      <c r="O135" s="8" t="s">
        <v>0</v>
      </c>
      <c r="P135" s="9" t="s">
        <v>0</v>
      </c>
      <c r="Q135" s="9" t="s">
        <v>0</v>
      </c>
      <c r="R135" s="9" t="s">
        <v>0</v>
      </c>
      <c r="S135" s="8">
        <v>0</v>
      </c>
      <c r="T135" s="8">
        <v>0</v>
      </c>
      <c r="U135" s="8" t="s">
        <v>0</v>
      </c>
      <c r="V135" s="8">
        <v>0</v>
      </c>
      <c r="W135" s="7">
        <f t="shared" si="26"/>
        <v>30</v>
      </c>
      <c r="X135" s="7">
        <f t="shared" si="27"/>
        <v>27</v>
      </c>
      <c r="Y135" s="7">
        <f t="shared" si="28"/>
        <v>0</v>
      </c>
      <c r="Z135" s="7">
        <f t="shared" si="29"/>
        <v>3</v>
      </c>
      <c r="AA135" s="6">
        <f t="shared" si="20"/>
        <v>0.1</v>
      </c>
    </row>
    <row r="136" spans="1:27" x14ac:dyDescent="0.25">
      <c r="A136" s="9"/>
      <c r="B136" s="13" t="s">
        <v>18</v>
      </c>
      <c r="C136" s="10">
        <v>805</v>
      </c>
      <c r="D136" s="10" t="s">
        <v>0</v>
      </c>
      <c r="E136" s="12" t="s">
        <v>8</v>
      </c>
      <c r="F136" s="11" t="s">
        <v>2</v>
      </c>
      <c r="G136" s="10">
        <v>30</v>
      </c>
      <c r="H136" s="10">
        <v>10</v>
      </c>
      <c r="I136" s="10">
        <v>36</v>
      </c>
      <c r="J136" s="10">
        <v>0</v>
      </c>
      <c r="K136" s="10">
        <v>7</v>
      </c>
      <c r="L136" s="10">
        <v>10</v>
      </c>
      <c r="M136" s="10">
        <v>10</v>
      </c>
      <c r="N136" s="10">
        <v>23</v>
      </c>
      <c r="O136" s="8" t="s">
        <v>0</v>
      </c>
      <c r="P136" s="9" t="s">
        <v>0</v>
      </c>
      <c r="Q136" s="9" t="s">
        <v>0</v>
      </c>
      <c r="R136" s="9" t="s">
        <v>0</v>
      </c>
      <c r="S136" s="8">
        <v>0</v>
      </c>
      <c r="T136" s="8">
        <v>0</v>
      </c>
      <c r="U136" s="8" t="s">
        <v>0</v>
      </c>
      <c r="V136" s="8">
        <v>0</v>
      </c>
      <c r="W136" s="7">
        <f t="shared" si="26"/>
        <v>30</v>
      </c>
      <c r="X136" s="7">
        <f t="shared" si="27"/>
        <v>7</v>
      </c>
      <c r="Y136" s="7">
        <f t="shared" si="28"/>
        <v>10</v>
      </c>
      <c r="Z136" s="7">
        <f t="shared" si="29"/>
        <v>23</v>
      </c>
      <c r="AA136" s="6">
        <f t="shared" si="20"/>
        <v>0.76666666666666672</v>
      </c>
    </row>
    <row r="137" spans="1:27" x14ac:dyDescent="0.25">
      <c r="A137" s="9"/>
      <c r="B137" s="13" t="s">
        <v>18</v>
      </c>
      <c r="C137" s="10">
        <v>806</v>
      </c>
      <c r="D137" s="10" t="s">
        <v>0</v>
      </c>
      <c r="E137" s="12" t="s">
        <v>5</v>
      </c>
      <c r="F137" s="11" t="s">
        <v>2</v>
      </c>
      <c r="G137" s="10">
        <v>30</v>
      </c>
      <c r="H137" s="10">
        <v>10</v>
      </c>
      <c r="I137" s="10">
        <v>0</v>
      </c>
      <c r="J137" s="10">
        <v>0</v>
      </c>
      <c r="K137" s="10">
        <v>26</v>
      </c>
      <c r="L137" s="10">
        <v>10</v>
      </c>
      <c r="M137" s="10">
        <v>0</v>
      </c>
      <c r="N137" s="10">
        <v>4</v>
      </c>
      <c r="O137" s="8" t="s">
        <v>0</v>
      </c>
      <c r="P137" s="9" t="s">
        <v>0</v>
      </c>
      <c r="Q137" s="9" t="s">
        <v>0</v>
      </c>
      <c r="R137" s="9" t="s">
        <v>0</v>
      </c>
      <c r="S137" s="8">
        <v>0</v>
      </c>
      <c r="T137" s="8">
        <v>0</v>
      </c>
      <c r="U137" s="8" t="s">
        <v>0</v>
      </c>
      <c r="V137" s="8">
        <v>0</v>
      </c>
      <c r="W137" s="7">
        <f t="shared" si="26"/>
        <v>30</v>
      </c>
      <c r="X137" s="7">
        <f t="shared" si="27"/>
        <v>26</v>
      </c>
      <c r="Y137" s="7">
        <f t="shared" si="28"/>
        <v>0</v>
      </c>
      <c r="Z137" s="7">
        <f t="shared" si="29"/>
        <v>4</v>
      </c>
      <c r="AA137" s="6">
        <f t="shared" si="20"/>
        <v>0.13333333333333333</v>
      </c>
    </row>
    <row r="138" spans="1:27" x14ac:dyDescent="0.25">
      <c r="A138" s="9"/>
      <c r="B138" s="13" t="s">
        <v>18</v>
      </c>
      <c r="C138" s="10">
        <v>807</v>
      </c>
      <c r="D138" s="10" t="s">
        <v>0</v>
      </c>
      <c r="E138" s="12" t="s">
        <v>3</v>
      </c>
      <c r="F138" s="11" t="s">
        <v>2</v>
      </c>
      <c r="G138" s="10">
        <v>30</v>
      </c>
      <c r="H138" s="10">
        <v>10</v>
      </c>
      <c r="I138" s="10">
        <v>0</v>
      </c>
      <c r="J138" s="10">
        <v>0</v>
      </c>
      <c r="K138" s="10">
        <v>13</v>
      </c>
      <c r="L138" s="10">
        <v>10</v>
      </c>
      <c r="M138" s="10">
        <v>0</v>
      </c>
      <c r="N138" s="10">
        <v>17</v>
      </c>
      <c r="O138" s="8" t="s">
        <v>0</v>
      </c>
      <c r="P138" s="9" t="s">
        <v>0</v>
      </c>
      <c r="Q138" s="9" t="s">
        <v>0</v>
      </c>
      <c r="R138" s="9" t="s">
        <v>0</v>
      </c>
      <c r="S138" s="8">
        <v>0</v>
      </c>
      <c r="T138" s="8">
        <v>0</v>
      </c>
      <c r="U138" s="8" t="s">
        <v>0</v>
      </c>
      <c r="V138" s="8">
        <v>0</v>
      </c>
      <c r="W138" s="7">
        <f t="shared" si="26"/>
        <v>30</v>
      </c>
      <c r="X138" s="7">
        <f t="shared" si="27"/>
        <v>13</v>
      </c>
      <c r="Y138" s="7">
        <f t="shared" si="28"/>
        <v>0</v>
      </c>
      <c r="Z138" s="7">
        <f t="shared" si="29"/>
        <v>17</v>
      </c>
      <c r="AA138" s="6">
        <f t="shared" ref="AA138:AA151" si="30">Z138/W138</f>
        <v>0.56666666666666665</v>
      </c>
    </row>
    <row r="139" spans="1:27" x14ac:dyDescent="0.25">
      <c r="A139" s="9"/>
      <c r="B139" s="13" t="s">
        <v>17</v>
      </c>
      <c r="C139" s="10">
        <v>808</v>
      </c>
      <c r="D139" s="10" t="s">
        <v>0</v>
      </c>
      <c r="E139" s="12" t="s">
        <v>10</v>
      </c>
      <c r="F139" s="11" t="s">
        <v>2</v>
      </c>
      <c r="G139" s="10">
        <v>30</v>
      </c>
      <c r="H139" s="10">
        <v>10</v>
      </c>
      <c r="I139" s="10">
        <v>23</v>
      </c>
      <c r="J139" s="10">
        <v>0</v>
      </c>
      <c r="K139" s="10">
        <v>15</v>
      </c>
      <c r="L139" s="10">
        <v>10</v>
      </c>
      <c r="M139" s="10">
        <v>16</v>
      </c>
      <c r="N139" s="10">
        <v>15</v>
      </c>
      <c r="O139" s="8" t="s">
        <v>0</v>
      </c>
      <c r="P139" s="9" t="s">
        <v>0</v>
      </c>
      <c r="Q139" s="9" t="s">
        <v>0</v>
      </c>
      <c r="R139" s="9" t="s">
        <v>0</v>
      </c>
      <c r="S139" s="8">
        <v>0</v>
      </c>
      <c r="T139" s="8">
        <v>0</v>
      </c>
      <c r="U139" s="8" t="s">
        <v>0</v>
      </c>
      <c r="V139" s="8">
        <v>0</v>
      </c>
      <c r="W139" s="7">
        <f t="shared" si="26"/>
        <v>30</v>
      </c>
      <c r="X139" s="7">
        <f t="shared" si="27"/>
        <v>15</v>
      </c>
      <c r="Y139" s="7">
        <f t="shared" si="28"/>
        <v>16</v>
      </c>
      <c r="Z139" s="7">
        <f t="shared" si="29"/>
        <v>15</v>
      </c>
      <c r="AA139" s="6">
        <f t="shared" si="30"/>
        <v>0.5</v>
      </c>
    </row>
    <row r="140" spans="1:27" ht="26.4" x14ac:dyDescent="0.25">
      <c r="A140" s="9"/>
      <c r="B140" s="13" t="s">
        <v>16</v>
      </c>
      <c r="C140" s="10">
        <v>809</v>
      </c>
      <c r="D140" s="10" t="s">
        <v>0</v>
      </c>
      <c r="E140" s="12" t="s">
        <v>10</v>
      </c>
      <c r="F140" s="11" t="s">
        <v>2</v>
      </c>
      <c r="G140" s="10">
        <v>30</v>
      </c>
      <c r="H140" s="10">
        <v>10</v>
      </c>
      <c r="I140" s="10">
        <v>0</v>
      </c>
      <c r="J140" s="10">
        <v>0</v>
      </c>
      <c r="K140" s="10">
        <v>18</v>
      </c>
      <c r="L140" s="10">
        <v>10</v>
      </c>
      <c r="M140" s="10">
        <v>1</v>
      </c>
      <c r="N140" s="10">
        <v>12</v>
      </c>
      <c r="O140" s="8" t="s">
        <v>0</v>
      </c>
      <c r="P140" s="9" t="s">
        <v>0</v>
      </c>
      <c r="Q140" s="9" t="s">
        <v>0</v>
      </c>
      <c r="R140" s="9" t="s">
        <v>0</v>
      </c>
      <c r="S140" s="8">
        <v>0</v>
      </c>
      <c r="T140" s="8">
        <v>0</v>
      </c>
      <c r="U140" s="8" t="s">
        <v>0</v>
      </c>
      <c r="V140" s="8">
        <v>0</v>
      </c>
      <c r="W140" s="7">
        <f t="shared" si="26"/>
        <v>30</v>
      </c>
      <c r="X140" s="7">
        <f t="shared" si="27"/>
        <v>18</v>
      </c>
      <c r="Y140" s="7">
        <f t="shared" si="28"/>
        <v>1</v>
      </c>
      <c r="Z140" s="7">
        <f t="shared" si="29"/>
        <v>12</v>
      </c>
      <c r="AA140" s="6">
        <f t="shared" si="30"/>
        <v>0.4</v>
      </c>
    </row>
    <row r="141" spans="1:27" x14ac:dyDescent="0.25">
      <c r="A141" s="9"/>
      <c r="B141" s="13" t="s">
        <v>15</v>
      </c>
      <c r="C141" s="10">
        <v>810</v>
      </c>
      <c r="D141" s="10" t="s">
        <v>0</v>
      </c>
      <c r="E141" s="12" t="s">
        <v>5</v>
      </c>
      <c r="F141" s="11" t="s">
        <v>2</v>
      </c>
      <c r="G141" s="10">
        <v>30</v>
      </c>
      <c r="H141" s="10">
        <v>10</v>
      </c>
      <c r="I141" s="10">
        <v>0</v>
      </c>
      <c r="J141" s="10">
        <v>0</v>
      </c>
      <c r="K141" s="10">
        <v>25</v>
      </c>
      <c r="L141" s="10">
        <v>10</v>
      </c>
      <c r="M141" s="10">
        <v>0</v>
      </c>
      <c r="N141" s="10">
        <v>5</v>
      </c>
      <c r="O141" s="8" t="s">
        <v>0</v>
      </c>
      <c r="P141" s="9" t="s">
        <v>0</v>
      </c>
      <c r="Q141" s="9" t="s">
        <v>0</v>
      </c>
      <c r="R141" s="9" t="s">
        <v>0</v>
      </c>
      <c r="S141" s="8">
        <v>0</v>
      </c>
      <c r="T141" s="8">
        <v>0</v>
      </c>
      <c r="U141" s="8" t="s">
        <v>0</v>
      </c>
      <c r="V141" s="8">
        <v>0</v>
      </c>
      <c r="W141" s="7">
        <f t="shared" si="26"/>
        <v>30</v>
      </c>
      <c r="X141" s="7">
        <f t="shared" si="27"/>
        <v>25</v>
      </c>
      <c r="Y141" s="7">
        <f t="shared" si="28"/>
        <v>0</v>
      </c>
      <c r="Z141" s="7">
        <f t="shared" si="29"/>
        <v>5</v>
      </c>
      <c r="AA141" s="6">
        <f t="shared" si="30"/>
        <v>0.16666666666666666</v>
      </c>
    </row>
    <row r="142" spans="1:27" x14ac:dyDescent="0.25">
      <c r="A142" s="9"/>
      <c r="B142" s="13" t="s">
        <v>14</v>
      </c>
      <c r="C142" s="10">
        <v>811</v>
      </c>
      <c r="D142" s="10" t="s">
        <v>0</v>
      </c>
      <c r="E142" s="12" t="s">
        <v>5</v>
      </c>
      <c r="F142" s="11" t="s">
        <v>2</v>
      </c>
      <c r="G142" s="10">
        <v>30</v>
      </c>
      <c r="H142" s="10">
        <v>10</v>
      </c>
      <c r="I142" s="10">
        <v>0</v>
      </c>
      <c r="J142" s="10">
        <v>0</v>
      </c>
      <c r="K142" s="10">
        <v>24</v>
      </c>
      <c r="L142" s="10">
        <v>9</v>
      </c>
      <c r="M142" s="10">
        <v>0</v>
      </c>
      <c r="N142" s="10">
        <v>7</v>
      </c>
      <c r="O142" s="8" t="s">
        <v>0</v>
      </c>
      <c r="P142" s="9" t="s">
        <v>0</v>
      </c>
      <c r="Q142" s="9" t="s">
        <v>0</v>
      </c>
      <c r="R142" s="9" t="s">
        <v>0</v>
      </c>
      <c r="S142" s="8">
        <v>0</v>
      </c>
      <c r="T142" s="8">
        <v>0</v>
      </c>
      <c r="U142" s="8" t="s">
        <v>0</v>
      </c>
      <c r="V142" s="8">
        <v>0</v>
      </c>
      <c r="W142" s="7">
        <f t="shared" si="26"/>
        <v>30</v>
      </c>
      <c r="X142" s="7">
        <f t="shared" si="27"/>
        <v>24</v>
      </c>
      <c r="Y142" s="7">
        <f t="shared" si="28"/>
        <v>0</v>
      </c>
      <c r="Z142" s="7">
        <f t="shared" si="29"/>
        <v>7</v>
      </c>
      <c r="AA142" s="6">
        <f t="shared" si="30"/>
        <v>0.23333333333333334</v>
      </c>
    </row>
    <row r="143" spans="1:27" x14ac:dyDescent="0.25">
      <c r="A143" s="9"/>
      <c r="B143" s="13" t="s">
        <v>13</v>
      </c>
      <c r="C143" s="10">
        <v>812</v>
      </c>
      <c r="D143" s="10" t="s">
        <v>0</v>
      </c>
      <c r="E143" s="12" t="s">
        <v>3</v>
      </c>
      <c r="F143" s="11" t="s">
        <v>2</v>
      </c>
      <c r="G143" s="10">
        <v>30</v>
      </c>
      <c r="H143" s="10">
        <v>10</v>
      </c>
      <c r="I143" s="10">
        <v>0</v>
      </c>
      <c r="J143" s="10">
        <v>0</v>
      </c>
      <c r="K143" s="10">
        <v>16</v>
      </c>
      <c r="L143" s="10">
        <v>10</v>
      </c>
      <c r="M143" s="10">
        <v>0</v>
      </c>
      <c r="N143" s="10">
        <v>14</v>
      </c>
      <c r="O143" s="8" t="s">
        <v>0</v>
      </c>
      <c r="P143" s="9" t="s">
        <v>0</v>
      </c>
      <c r="Q143" s="9" t="s">
        <v>0</v>
      </c>
      <c r="R143" s="9" t="s">
        <v>0</v>
      </c>
      <c r="S143" s="8">
        <v>0</v>
      </c>
      <c r="T143" s="8">
        <v>0</v>
      </c>
      <c r="U143" s="8" t="s">
        <v>0</v>
      </c>
      <c r="V143" s="8">
        <v>0</v>
      </c>
      <c r="W143" s="7">
        <f t="shared" si="26"/>
        <v>30</v>
      </c>
      <c r="X143" s="7">
        <f t="shared" si="27"/>
        <v>16</v>
      </c>
      <c r="Y143" s="7">
        <f t="shared" si="28"/>
        <v>0</v>
      </c>
      <c r="Z143" s="7">
        <f t="shared" si="29"/>
        <v>14</v>
      </c>
      <c r="AA143" s="6">
        <f t="shared" si="30"/>
        <v>0.46666666666666667</v>
      </c>
    </row>
    <row r="144" spans="1:27" x14ac:dyDescent="0.25">
      <c r="A144" s="9"/>
      <c r="B144" s="13" t="s">
        <v>12</v>
      </c>
      <c r="C144" s="10">
        <v>813</v>
      </c>
      <c r="D144" s="10" t="s">
        <v>0</v>
      </c>
      <c r="E144" s="12" t="s">
        <v>8</v>
      </c>
      <c r="F144" s="11" t="s">
        <v>2</v>
      </c>
      <c r="G144" s="10">
        <v>30</v>
      </c>
      <c r="H144" s="10">
        <v>10</v>
      </c>
      <c r="I144" s="10">
        <v>41</v>
      </c>
      <c r="J144" s="10">
        <v>0</v>
      </c>
      <c r="K144" s="10">
        <v>10</v>
      </c>
      <c r="L144" s="10">
        <v>10</v>
      </c>
      <c r="M144" s="10">
        <v>11</v>
      </c>
      <c r="N144" s="10">
        <v>20</v>
      </c>
      <c r="O144" s="8" t="s">
        <v>0</v>
      </c>
      <c r="P144" s="9" t="s">
        <v>0</v>
      </c>
      <c r="Q144" s="9" t="s">
        <v>0</v>
      </c>
      <c r="R144" s="9" t="s">
        <v>0</v>
      </c>
      <c r="S144" s="8">
        <v>0</v>
      </c>
      <c r="T144" s="8">
        <v>0</v>
      </c>
      <c r="U144" s="8" t="s">
        <v>0</v>
      </c>
      <c r="V144" s="8">
        <v>0</v>
      </c>
      <c r="W144" s="7">
        <f t="shared" si="26"/>
        <v>30</v>
      </c>
      <c r="X144" s="7">
        <f t="shared" si="27"/>
        <v>10</v>
      </c>
      <c r="Y144" s="7">
        <f t="shared" si="28"/>
        <v>11</v>
      </c>
      <c r="Z144" s="7">
        <f t="shared" si="29"/>
        <v>20</v>
      </c>
      <c r="AA144" s="6">
        <f t="shared" si="30"/>
        <v>0.66666666666666663</v>
      </c>
    </row>
    <row r="145" spans="1:70" x14ac:dyDescent="0.25">
      <c r="A145" s="9"/>
      <c r="B145" s="13" t="s">
        <v>12</v>
      </c>
      <c r="C145" s="10">
        <v>814</v>
      </c>
      <c r="D145" s="10" t="s">
        <v>0</v>
      </c>
      <c r="E145" s="12" t="s">
        <v>5</v>
      </c>
      <c r="F145" s="11" t="s">
        <v>2</v>
      </c>
      <c r="G145" s="10">
        <v>30</v>
      </c>
      <c r="H145" s="10">
        <v>10</v>
      </c>
      <c r="I145" s="10">
        <v>0</v>
      </c>
      <c r="J145" s="10">
        <v>0</v>
      </c>
      <c r="K145" s="10">
        <v>26</v>
      </c>
      <c r="L145" s="10">
        <v>10</v>
      </c>
      <c r="M145" s="10">
        <v>0</v>
      </c>
      <c r="N145" s="10">
        <v>4</v>
      </c>
      <c r="O145" s="8" t="s">
        <v>0</v>
      </c>
      <c r="P145" s="9" t="s">
        <v>0</v>
      </c>
      <c r="Q145" s="9" t="s">
        <v>0</v>
      </c>
      <c r="R145" s="9" t="s">
        <v>0</v>
      </c>
      <c r="S145" s="8">
        <v>0</v>
      </c>
      <c r="T145" s="8">
        <v>0</v>
      </c>
      <c r="U145" s="8" t="s">
        <v>0</v>
      </c>
      <c r="V145" s="8">
        <v>0</v>
      </c>
      <c r="W145" s="7">
        <f t="shared" si="26"/>
        <v>30</v>
      </c>
      <c r="X145" s="7">
        <f t="shared" si="27"/>
        <v>26</v>
      </c>
      <c r="Y145" s="7">
        <f t="shared" si="28"/>
        <v>0</v>
      </c>
      <c r="Z145" s="7">
        <f t="shared" si="29"/>
        <v>4</v>
      </c>
      <c r="AA145" s="6">
        <f t="shared" si="30"/>
        <v>0.13333333333333333</v>
      </c>
    </row>
    <row r="146" spans="1:70" ht="26.4" x14ac:dyDescent="0.25">
      <c r="A146" s="9"/>
      <c r="B146" s="13" t="s">
        <v>11</v>
      </c>
      <c r="C146" s="10">
        <v>815</v>
      </c>
      <c r="D146" s="10" t="s">
        <v>0</v>
      </c>
      <c r="E146" s="12" t="s">
        <v>10</v>
      </c>
      <c r="F146" s="11" t="s">
        <v>2</v>
      </c>
      <c r="G146" s="10">
        <v>30</v>
      </c>
      <c r="H146" s="10">
        <v>10</v>
      </c>
      <c r="I146" s="10">
        <v>7</v>
      </c>
      <c r="J146" s="10">
        <v>0</v>
      </c>
      <c r="K146" s="10">
        <v>19</v>
      </c>
      <c r="L146" s="10">
        <v>9</v>
      </c>
      <c r="M146" s="10">
        <v>21</v>
      </c>
      <c r="N146" s="10">
        <v>12</v>
      </c>
      <c r="O146" s="8" t="s">
        <v>0</v>
      </c>
      <c r="P146" s="9" t="s">
        <v>0</v>
      </c>
      <c r="Q146" s="9" t="s">
        <v>0</v>
      </c>
      <c r="R146" s="9" t="s">
        <v>0</v>
      </c>
      <c r="S146" s="8">
        <v>0</v>
      </c>
      <c r="T146" s="8">
        <v>0</v>
      </c>
      <c r="U146" s="8" t="s">
        <v>0</v>
      </c>
      <c r="V146" s="8">
        <v>0</v>
      </c>
      <c r="W146" s="7">
        <f t="shared" si="26"/>
        <v>30</v>
      </c>
      <c r="X146" s="7">
        <f t="shared" si="27"/>
        <v>19</v>
      </c>
      <c r="Y146" s="7">
        <f t="shared" si="28"/>
        <v>21</v>
      </c>
      <c r="Z146" s="7">
        <f t="shared" si="29"/>
        <v>12</v>
      </c>
      <c r="AA146" s="6">
        <f t="shared" si="30"/>
        <v>0.4</v>
      </c>
    </row>
    <row r="147" spans="1:70" ht="26.4" x14ac:dyDescent="0.25">
      <c r="A147" s="9"/>
      <c r="B147" s="13" t="s">
        <v>9</v>
      </c>
      <c r="C147" s="10">
        <v>816</v>
      </c>
      <c r="D147" s="10" t="s">
        <v>0</v>
      </c>
      <c r="E147" s="12" t="s">
        <v>8</v>
      </c>
      <c r="F147" s="11" t="s">
        <v>2</v>
      </c>
      <c r="G147" s="10">
        <v>30</v>
      </c>
      <c r="H147" s="10">
        <v>10</v>
      </c>
      <c r="I147" s="10">
        <v>16</v>
      </c>
      <c r="J147" s="10">
        <v>0</v>
      </c>
      <c r="K147" s="10">
        <v>10</v>
      </c>
      <c r="L147" s="10">
        <v>9</v>
      </c>
      <c r="M147" s="10">
        <v>10</v>
      </c>
      <c r="N147" s="10">
        <v>21</v>
      </c>
      <c r="O147" s="8" t="s">
        <v>0</v>
      </c>
      <c r="P147" s="9" t="s">
        <v>0</v>
      </c>
      <c r="Q147" s="9" t="s">
        <v>0</v>
      </c>
      <c r="R147" s="9" t="s">
        <v>0</v>
      </c>
      <c r="S147" s="8">
        <v>0</v>
      </c>
      <c r="T147" s="8">
        <v>0</v>
      </c>
      <c r="U147" s="8" t="s">
        <v>0</v>
      </c>
      <c r="V147" s="8">
        <v>0</v>
      </c>
      <c r="W147" s="7">
        <f t="shared" si="26"/>
        <v>30</v>
      </c>
      <c r="X147" s="7">
        <f t="shared" si="27"/>
        <v>10</v>
      </c>
      <c r="Y147" s="7">
        <f t="shared" si="28"/>
        <v>10</v>
      </c>
      <c r="Z147" s="7">
        <f t="shared" si="29"/>
        <v>21</v>
      </c>
      <c r="AA147" s="6">
        <f t="shared" si="30"/>
        <v>0.7</v>
      </c>
    </row>
    <row r="148" spans="1:70" x14ac:dyDescent="0.25">
      <c r="A148" s="9"/>
      <c r="B148" s="13" t="s">
        <v>7</v>
      </c>
      <c r="C148" s="10">
        <v>817</v>
      </c>
      <c r="D148" s="10" t="s">
        <v>0</v>
      </c>
      <c r="E148" s="12" t="s">
        <v>5</v>
      </c>
      <c r="F148" s="11" t="s">
        <v>2</v>
      </c>
      <c r="G148" s="10">
        <v>30</v>
      </c>
      <c r="H148" s="10">
        <v>10</v>
      </c>
      <c r="I148" s="10">
        <v>0</v>
      </c>
      <c r="J148" s="10">
        <v>0</v>
      </c>
      <c r="K148" s="10">
        <v>22</v>
      </c>
      <c r="L148" s="10">
        <v>10</v>
      </c>
      <c r="M148" s="10">
        <v>0</v>
      </c>
      <c r="N148" s="10">
        <v>8</v>
      </c>
      <c r="O148" s="8" t="s">
        <v>0</v>
      </c>
      <c r="P148" s="9" t="s">
        <v>0</v>
      </c>
      <c r="Q148" s="9" t="s">
        <v>0</v>
      </c>
      <c r="R148" s="9" t="s">
        <v>0</v>
      </c>
      <c r="S148" s="8">
        <v>0</v>
      </c>
      <c r="T148" s="8">
        <v>0</v>
      </c>
      <c r="U148" s="8" t="s">
        <v>0</v>
      </c>
      <c r="V148" s="8">
        <v>0</v>
      </c>
      <c r="W148" s="7">
        <f t="shared" si="26"/>
        <v>30</v>
      </c>
      <c r="X148" s="7">
        <f t="shared" si="27"/>
        <v>22</v>
      </c>
      <c r="Y148" s="7">
        <f t="shared" si="28"/>
        <v>0</v>
      </c>
      <c r="Z148" s="7">
        <f t="shared" si="29"/>
        <v>8</v>
      </c>
      <c r="AA148" s="6">
        <f t="shared" si="30"/>
        <v>0.26666666666666666</v>
      </c>
    </row>
    <row r="149" spans="1:70" x14ac:dyDescent="0.25">
      <c r="A149" s="9"/>
      <c r="B149" s="13" t="s">
        <v>6</v>
      </c>
      <c r="C149" s="10">
        <v>818</v>
      </c>
      <c r="D149" s="10" t="s">
        <v>0</v>
      </c>
      <c r="E149" s="12" t="s">
        <v>5</v>
      </c>
      <c r="F149" s="11" t="s">
        <v>2</v>
      </c>
      <c r="G149" s="10">
        <v>30</v>
      </c>
      <c r="H149" s="10">
        <v>10</v>
      </c>
      <c r="I149" s="10">
        <v>0</v>
      </c>
      <c r="J149" s="10">
        <v>0</v>
      </c>
      <c r="K149" s="10">
        <v>27</v>
      </c>
      <c r="L149" s="10">
        <v>10</v>
      </c>
      <c r="M149" s="10">
        <v>0</v>
      </c>
      <c r="N149" s="10">
        <v>3</v>
      </c>
      <c r="O149" s="8" t="s">
        <v>0</v>
      </c>
      <c r="P149" s="9" t="s">
        <v>0</v>
      </c>
      <c r="Q149" s="9" t="s">
        <v>0</v>
      </c>
      <c r="R149" s="9" t="s">
        <v>0</v>
      </c>
      <c r="S149" s="8">
        <v>0</v>
      </c>
      <c r="T149" s="8">
        <v>0</v>
      </c>
      <c r="U149" s="8" t="s">
        <v>0</v>
      </c>
      <c r="V149" s="8">
        <v>0</v>
      </c>
      <c r="W149" s="7">
        <f t="shared" si="26"/>
        <v>30</v>
      </c>
      <c r="X149" s="7">
        <f t="shared" si="27"/>
        <v>27</v>
      </c>
      <c r="Y149" s="7">
        <f t="shared" si="28"/>
        <v>0</v>
      </c>
      <c r="Z149" s="7">
        <f t="shared" si="29"/>
        <v>3</v>
      </c>
      <c r="AA149" s="6">
        <f t="shared" si="30"/>
        <v>0.1</v>
      </c>
    </row>
    <row r="150" spans="1:70" ht="26.4" x14ac:dyDescent="0.25">
      <c r="A150" s="9"/>
      <c r="B150" s="13" t="s">
        <v>4</v>
      </c>
      <c r="C150" s="10">
        <v>819</v>
      </c>
      <c r="D150" s="10" t="s">
        <v>0</v>
      </c>
      <c r="E150" s="12" t="s">
        <v>5</v>
      </c>
      <c r="F150" s="11" t="s">
        <v>2</v>
      </c>
      <c r="G150" s="10">
        <v>30</v>
      </c>
      <c r="H150" s="10">
        <v>10</v>
      </c>
      <c r="I150" s="10">
        <v>0</v>
      </c>
      <c r="J150" s="10">
        <v>0</v>
      </c>
      <c r="K150" s="10">
        <v>12</v>
      </c>
      <c r="L150" s="10">
        <v>10</v>
      </c>
      <c r="M150" s="10">
        <v>8</v>
      </c>
      <c r="N150" s="10">
        <v>18</v>
      </c>
      <c r="O150" s="8" t="s">
        <v>0</v>
      </c>
      <c r="P150" s="9" t="s">
        <v>0</v>
      </c>
      <c r="Q150" s="9" t="s">
        <v>0</v>
      </c>
      <c r="R150" s="9" t="s">
        <v>0</v>
      </c>
      <c r="S150" s="8">
        <v>0</v>
      </c>
      <c r="T150" s="8">
        <v>0</v>
      </c>
      <c r="U150" s="8" t="s">
        <v>0</v>
      </c>
      <c r="V150" s="8">
        <v>0</v>
      </c>
      <c r="W150" s="7">
        <f t="shared" si="26"/>
        <v>30</v>
      </c>
      <c r="X150" s="7">
        <f t="shared" si="27"/>
        <v>12</v>
      </c>
      <c r="Y150" s="7">
        <f t="shared" si="28"/>
        <v>8</v>
      </c>
      <c r="Z150" s="7">
        <f t="shared" si="29"/>
        <v>18</v>
      </c>
      <c r="AA150" s="6">
        <f t="shared" si="30"/>
        <v>0.6</v>
      </c>
    </row>
    <row r="151" spans="1:70" ht="26.4" x14ac:dyDescent="0.25">
      <c r="A151" s="9"/>
      <c r="B151" s="13" t="s">
        <v>4</v>
      </c>
      <c r="C151" s="10">
        <v>820</v>
      </c>
      <c r="D151" s="10" t="s">
        <v>0</v>
      </c>
      <c r="E151" s="12" t="s">
        <v>3</v>
      </c>
      <c r="F151" s="11" t="s">
        <v>2</v>
      </c>
      <c r="G151" s="10">
        <v>30</v>
      </c>
      <c r="H151" s="10">
        <v>10</v>
      </c>
      <c r="I151" s="10">
        <v>18</v>
      </c>
      <c r="J151" s="10">
        <v>0</v>
      </c>
      <c r="K151" s="10">
        <v>5</v>
      </c>
      <c r="L151" s="10">
        <v>10</v>
      </c>
      <c r="M151" s="10">
        <v>12</v>
      </c>
      <c r="N151" s="10">
        <v>25</v>
      </c>
      <c r="O151" s="8" t="s">
        <v>0</v>
      </c>
      <c r="P151" s="9" t="s">
        <v>0</v>
      </c>
      <c r="Q151" s="9" t="s">
        <v>0</v>
      </c>
      <c r="R151" s="9" t="s">
        <v>0</v>
      </c>
      <c r="S151" s="8">
        <v>0</v>
      </c>
      <c r="T151" s="8">
        <v>0</v>
      </c>
      <c r="U151" s="8" t="s">
        <v>0</v>
      </c>
      <c r="V151" s="8">
        <v>0</v>
      </c>
      <c r="W151" s="7">
        <f t="shared" si="26"/>
        <v>30</v>
      </c>
      <c r="X151" s="7">
        <f t="shared" si="27"/>
        <v>5</v>
      </c>
      <c r="Y151" s="7">
        <f t="shared" si="28"/>
        <v>12</v>
      </c>
      <c r="Z151" s="7">
        <f t="shared" si="29"/>
        <v>25</v>
      </c>
      <c r="AA151" s="6">
        <f t="shared" si="30"/>
        <v>0.83333333333333337</v>
      </c>
    </row>
    <row r="152" spans="1:70" s="3" customFormat="1" x14ac:dyDescent="0.25">
      <c r="A152" s="36" t="s">
        <v>1</v>
      </c>
      <c r="B152" s="37"/>
      <c r="C152" s="37"/>
      <c r="D152" s="37"/>
      <c r="E152" s="37"/>
      <c r="F152" s="38"/>
      <c r="G152" s="5">
        <f t="shared" ref="G152:N152" si="31">SUM(G10:G151)</f>
        <v>3940</v>
      </c>
      <c r="H152" s="5">
        <f t="shared" si="31"/>
        <v>1120</v>
      </c>
      <c r="I152" s="5">
        <f t="shared" si="31"/>
        <v>16921</v>
      </c>
      <c r="J152" s="5">
        <f t="shared" si="31"/>
        <v>107</v>
      </c>
      <c r="K152" s="5">
        <f t="shared" si="31"/>
        <v>1778</v>
      </c>
      <c r="L152" s="5">
        <f t="shared" si="31"/>
        <v>1001</v>
      </c>
      <c r="M152" s="5">
        <f t="shared" si="31"/>
        <v>1397</v>
      </c>
      <c r="N152" s="5">
        <f t="shared" si="31"/>
        <v>2274</v>
      </c>
      <c r="O152" s="5">
        <f t="shared" ref="O152:U152" si="32">SUM(O10:O151)</f>
        <v>1534</v>
      </c>
      <c r="P152" s="5">
        <f t="shared" si="32"/>
        <v>630</v>
      </c>
      <c r="Q152" s="5">
        <f t="shared" si="32"/>
        <v>11038</v>
      </c>
      <c r="R152" s="5">
        <f t="shared" si="32"/>
        <v>940</v>
      </c>
      <c r="S152" s="5">
        <f t="shared" si="32"/>
        <v>486</v>
      </c>
      <c r="T152" s="5">
        <f t="shared" si="32"/>
        <v>523</v>
      </c>
      <c r="U152" s="5">
        <f>SUM(U10:U151)</f>
        <v>657</v>
      </c>
      <c r="V152" s="5">
        <f>SUM(V10:V151)</f>
        <v>1153</v>
      </c>
      <c r="W152" s="5">
        <f>SUM(W10:W151)</f>
        <v>5474</v>
      </c>
      <c r="X152" s="5">
        <f>SUM(X10:X151)</f>
        <v>2264</v>
      </c>
      <c r="Y152" s="5">
        <f>SUM(Y10:Y151)</f>
        <v>2054</v>
      </c>
      <c r="Z152" s="5">
        <f>SUM(Z10:Z151)</f>
        <v>3427</v>
      </c>
      <c r="AA152" s="5" t="s">
        <v>0</v>
      </c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</row>
  </sheetData>
  <autoFilter ref="A9:AA152" xr:uid="{35C47640-E9B1-49BD-A707-067CA5003996}"/>
  <mergeCells count="8">
    <mergeCell ref="A7:H7"/>
    <mergeCell ref="A152:F152"/>
    <mergeCell ref="A1:H1"/>
    <mergeCell ref="A2:H2"/>
    <mergeCell ref="A3:H3"/>
    <mergeCell ref="E4:G4"/>
    <mergeCell ref="A5:H5"/>
    <mergeCell ref="A6:H6"/>
  </mergeCells>
  <conditionalFormatting sqref="C16:D16">
    <cfRule type="duplicateValues" dxfId="28" priority="21" stopIfTrue="1"/>
    <cfRule type="duplicateValues" dxfId="27" priority="22"/>
  </conditionalFormatting>
  <conditionalFormatting sqref="C40:D40">
    <cfRule type="duplicateValues" dxfId="26" priority="15" stopIfTrue="1"/>
    <cfRule type="duplicateValues" dxfId="25" priority="16"/>
  </conditionalFormatting>
  <conditionalFormatting sqref="C67:D67">
    <cfRule type="duplicateValues" dxfId="24" priority="17" stopIfTrue="1"/>
    <cfRule type="duplicateValues" dxfId="23" priority="18"/>
  </conditionalFormatting>
  <conditionalFormatting sqref="C82:D93 C10:D15 C17:D39 C99:D107 C112:D113 C68:D80 C41:D66 C115:D131 C95:D97">
    <cfRule type="duplicateValues" dxfId="22" priority="23" stopIfTrue="1"/>
    <cfRule type="duplicateValues" dxfId="21" priority="24"/>
  </conditionalFormatting>
  <conditionalFormatting sqref="C94:D94">
    <cfRule type="duplicateValues" dxfId="20" priority="11" stopIfTrue="1"/>
    <cfRule type="duplicateValues" dxfId="19" priority="12"/>
  </conditionalFormatting>
  <conditionalFormatting sqref="C98:D98">
    <cfRule type="duplicateValues" dxfId="18" priority="19" stopIfTrue="1"/>
    <cfRule type="duplicateValues" dxfId="17" priority="20"/>
  </conditionalFormatting>
  <conditionalFormatting sqref="C114:D114">
    <cfRule type="duplicateValues" dxfId="16" priority="13" stopIfTrue="1"/>
    <cfRule type="duplicateValues" dxfId="15" priority="14"/>
  </conditionalFormatting>
  <conditionalFormatting sqref="C132:D151">
    <cfRule type="duplicateValues" dxfId="14" priority="9" stopIfTrue="1"/>
    <cfRule type="duplicateValues" dxfId="13" priority="10"/>
  </conditionalFormatting>
  <conditionalFormatting sqref="D10:D151">
    <cfRule type="duplicateValues" dxfId="12" priority="2"/>
  </conditionalFormatting>
  <conditionalFormatting sqref="AA10:AA15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{F8ABDFFD-AB6B-47EE-9F0D-114FC6F140F0}</x14:id>
        </ext>
      </extLst>
    </cfRule>
  </conditionalFormatting>
  <printOptions horizontalCentered="1"/>
  <pageMargins left="0.19685039370078741" right="0.19685039370078741" top="0.39370078740157483" bottom="0.39370078740157483" header="0" footer="0"/>
  <pageSetup paperSize="9" scale="96" fitToHeight="0" orientation="landscape" r:id="rId1"/>
  <headerFooter alignWithMargins="0">
    <oddFooter>&amp;L* Dados de Vagas remanescentes e de Matriculados após matrículas da 1ª chamada do Vestibular e da 2ª chamada do Sisu.&amp;R&amp;P de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ABDFFD-AB6B-47EE-9F0D-114FC6F140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AA10:AA151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94B8B-F7F5-4107-9952-8F5E965A35DB}">
  <dimension ref="B2:G32"/>
  <sheetViews>
    <sheetView workbookViewId="0">
      <selection activeCell="B3" sqref="B3:G20"/>
    </sheetView>
  </sheetViews>
  <sheetFormatPr defaultRowHeight="13.2" x14ac:dyDescent="0.25"/>
  <cols>
    <col min="2" max="2" width="20.88671875" bestFit="1" customWidth="1"/>
    <col min="3" max="3" width="0" hidden="1" customWidth="1"/>
    <col min="4" max="4" width="9.21875" hidden="1" customWidth="1"/>
    <col min="5" max="5" width="36.44140625" customWidth="1"/>
    <col min="6" max="6" width="16.77734375" customWidth="1"/>
    <col min="7" max="7" width="14.88671875" customWidth="1"/>
  </cols>
  <sheetData>
    <row r="2" spans="2:7" ht="13.8" thickBot="1" x14ac:dyDescent="0.3">
      <c r="E2" s="1" t="s">
        <v>124</v>
      </c>
    </row>
    <row r="3" spans="2:7" ht="54" customHeight="1" thickBot="1" x14ac:dyDescent="0.3">
      <c r="B3" s="32" t="s">
        <v>115</v>
      </c>
      <c r="C3" s="33" t="s">
        <v>114</v>
      </c>
      <c r="D3" s="33" t="s">
        <v>113</v>
      </c>
      <c r="E3" s="33" t="s">
        <v>112</v>
      </c>
      <c r="F3" s="34" t="s">
        <v>111</v>
      </c>
      <c r="G3" s="33" t="s">
        <v>97</v>
      </c>
    </row>
    <row r="4" spans="2:7" ht="13.2" customHeight="1" x14ac:dyDescent="0.25">
      <c r="B4" s="14" t="s">
        <v>83</v>
      </c>
      <c r="C4" s="10">
        <v>144</v>
      </c>
      <c r="D4" s="10">
        <v>1348511</v>
      </c>
      <c r="E4" s="12" t="s">
        <v>86</v>
      </c>
      <c r="F4" s="11" t="s">
        <v>30</v>
      </c>
      <c r="G4" s="6">
        <v>0.36</v>
      </c>
    </row>
    <row r="5" spans="2:7" ht="13.2" customHeight="1" x14ac:dyDescent="0.25">
      <c r="B5" s="14" t="s">
        <v>75</v>
      </c>
      <c r="C5" s="10">
        <v>214</v>
      </c>
      <c r="D5" s="10" t="s">
        <v>0</v>
      </c>
      <c r="E5" s="12" t="s">
        <v>45</v>
      </c>
      <c r="F5" s="11" t="s">
        <v>28</v>
      </c>
      <c r="G5" s="6">
        <v>0.4</v>
      </c>
    </row>
    <row r="6" spans="2:7" ht="13.2" customHeight="1" x14ac:dyDescent="0.25">
      <c r="B6" s="14" t="s">
        <v>65</v>
      </c>
      <c r="C6" s="10">
        <v>305</v>
      </c>
      <c r="D6" s="10">
        <v>83312</v>
      </c>
      <c r="E6" s="12" t="s">
        <v>58</v>
      </c>
      <c r="F6" s="11" t="s">
        <v>21</v>
      </c>
      <c r="G6" s="6">
        <v>0.375</v>
      </c>
    </row>
    <row r="7" spans="2:7" ht="13.2" customHeight="1" x14ac:dyDescent="0.25">
      <c r="B7" s="14" t="s">
        <v>65</v>
      </c>
      <c r="C7" s="10">
        <v>307</v>
      </c>
      <c r="D7" s="10">
        <v>1420512</v>
      </c>
      <c r="E7" s="12" t="s">
        <v>64</v>
      </c>
      <c r="F7" s="11" t="s">
        <v>30</v>
      </c>
      <c r="G7" s="6">
        <v>0.36666666666666664</v>
      </c>
    </row>
    <row r="8" spans="2:7" ht="13.2" customHeight="1" x14ac:dyDescent="0.25">
      <c r="B8" s="14" t="s">
        <v>62</v>
      </c>
      <c r="C8" s="10">
        <v>321</v>
      </c>
      <c r="D8" s="10">
        <v>1270445</v>
      </c>
      <c r="E8" s="12" t="s">
        <v>63</v>
      </c>
      <c r="F8" s="11" t="s">
        <v>21</v>
      </c>
      <c r="G8" s="6">
        <v>0.375</v>
      </c>
    </row>
    <row r="9" spans="2:7" ht="13.2" customHeight="1" x14ac:dyDescent="0.25">
      <c r="B9" s="14" t="s">
        <v>62</v>
      </c>
      <c r="C9" s="10">
        <v>324</v>
      </c>
      <c r="D9" s="10">
        <v>20581</v>
      </c>
      <c r="E9" s="12" t="s">
        <v>27</v>
      </c>
      <c r="F9" s="11" t="s">
        <v>30</v>
      </c>
      <c r="G9" s="6">
        <v>0.23333333333333334</v>
      </c>
    </row>
    <row r="10" spans="2:7" ht="13.2" customHeight="1" x14ac:dyDescent="0.25">
      <c r="B10" s="14" t="s">
        <v>60</v>
      </c>
      <c r="C10" s="10">
        <v>348</v>
      </c>
      <c r="D10" s="10">
        <v>83390</v>
      </c>
      <c r="E10" s="12" t="s">
        <v>22</v>
      </c>
      <c r="F10" s="11" t="s">
        <v>30</v>
      </c>
      <c r="G10" s="6">
        <v>0.27500000000000002</v>
      </c>
    </row>
    <row r="11" spans="2:7" ht="13.2" customHeight="1" x14ac:dyDescent="0.25">
      <c r="B11" s="14" t="s">
        <v>57</v>
      </c>
      <c r="C11" s="10">
        <v>363</v>
      </c>
      <c r="D11" s="10">
        <v>91545</v>
      </c>
      <c r="E11" s="12" t="s">
        <v>45</v>
      </c>
      <c r="F11" s="11" t="s">
        <v>30</v>
      </c>
      <c r="G11" s="6">
        <v>0.375</v>
      </c>
    </row>
    <row r="12" spans="2:7" ht="13.2" customHeight="1" x14ac:dyDescent="0.25">
      <c r="B12" s="14" t="s">
        <v>57</v>
      </c>
      <c r="C12" s="10">
        <v>365</v>
      </c>
      <c r="D12" s="10">
        <v>82689</v>
      </c>
      <c r="E12" s="12" t="s">
        <v>32</v>
      </c>
      <c r="F12" s="11" t="s">
        <v>30</v>
      </c>
      <c r="G12" s="6">
        <v>0.32</v>
      </c>
    </row>
    <row r="13" spans="2:7" ht="13.2" customHeight="1" x14ac:dyDescent="0.25">
      <c r="B13" s="14" t="s">
        <v>55</v>
      </c>
      <c r="C13" s="10">
        <v>382</v>
      </c>
      <c r="D13" s="10">
        <v>91797</v>
      </c>
      <c r="E13" s="12" t="s">
        <v>56</v>
      </c>
      <c r="F13" s="11" t="s">
        <v>30</v>
      </c>
      <c r="G13" s="6">
        <v>0.375</v>
      </c>
    </row>
    <row r="14" spans="2:7" ht="13.2" customHeight="1" x14ac:dyDescent="0.25">
      <c r="B14" s="14" t="s">
        <v>44</v>
      </c>
      <c r="C14" s="10">
        <v>523</v>
      </c>
      <c r="D14" s="10">
        <v>83150</v>
      </c>
      <c r="E14" s="12" t="s">
        <v>32</v>
      </c>
      <c r="F14" s="11" t="s">
        <v>30</v>
      </c>
      <c r="G14" s="6">
        <v>0.32500000000000001</v>
      </c>
    </row>
    <row r="15" spans="2:7" ht="13.2" customHeight="1" x14ac:dyDescent="0.25">
      <c r="B15" s="14" t="s">
        <v>44</v>
      </c>
      <c r="C15" s="10">
        <v>524</v>
      </c>
      <c r="D15" s="10">
        <v>123823</v>
      </c>
      <c r="E15" s="12" t="s">
        <v>43</v>
      </c>
      <c r="F15" s="11" t="s">
        <v>28</v>
      </c>
      <c r="G15" s="6">
        <v>0.17499999999999999</v>
      </c>
    </row>
    <row r="16" spans="2:7" ht="13.2" customHeight="1" x14ac:dyDescent="0.25">
      <c r="B16" s="14" t="s">
        <v>41</v>
      </c>
      <c r="C16" s="10">
        <v>542</v>
      </c>
      <c r="D16" s="10" t="s">
        <v>0</v>
      </c>
      <c r="E16" s="12" t="s">
        <v>42</v>
      </c>
      <c r="F16" s="11" t="s">
        <v>21</v>
      </c>
      <c r="G16" s="6">
        <v>0.38</v>
      </c>
    </row>
    <row r="17" spans="2:7" ht="13.2" customHeight="1" x14ac:dyDescent="0.25">
      <c r="B17" s="14" t="s">
        <v>37</v>
      </c>
      <c r="C17" s="10">
        <v>581</v>
      </c>
      <c r="D17" s="10">
        <v>1342685</v>
      </c>
      <c r="E17" s="12" t="s">
        <v>8</v>
      </c>
      <c r="F17" s="11" t="s">
        <v>28</v>
      </c>
      <c r="G17" s="6">
        <v>0.35</v>
      </c>
    </row>
    <row r="18" spans="2:7" ht="13.2" customHeight="1" x14ac:dyDescent="0.25">
      <c r="B18" s="14" t="s">
        <v>37</v>
      </c>
      <c r="C18" s="10">
        <v>582</v>
      </c>
      <c r="D18" s="10">
        <v>1516691</v>
      </c>
      <c r="E18" s="12" t="s">
        <v>38</v>
      </c>
      <c r="F18" s="11" t="s">
        <v>24</v>
      </c>
      <c r="G18" s="6">
        <v>0.17499999999999999</v>
      </c>
    </row>
    <row r="19" spans="2:7" ht="13.2" customHeight="1" x14ac:dyDescent="0.25">
      <c r="B19" s="14" t="s">
        <v>29</v>
      </c>
      <c r="C19" s="10">
        <v>625</v>
      </c>
      <c r="D19" s="10">
        <v>82795</v>
      </c>
      <c r="E19" s="12" t="s">
        <v>32</v>
      </c>
      <c r="F19" s="11" t="s">
        <v>30</v>
      </c>
      <c r="G19" s="6">
        <v>0.22500000000000001</v>
      </c>
    </row>
    <row r="20" spans="2:7" ht="13.2" customHeight="1" x14ac:dyDescent="0.25">
      <c r="B20" s="14" t="s">
        <v>26</v>
      </c>
      <c r="C20" s="10">
        <v>642</v>
      </c>
      <c r="D20" s="10">
        <v>1166832</v>
      </c>
      <c r="E20" s="12" t="s">
        <v>27</v>
      </c>
      <c r="F20" s="11" t="s">
        <v>24</v>
      </c>
      <c r="G20" s="6">
        <v>0.125</v>
      </c>
    </row>
    <row r="21" spans="2:7" ht="13.2" hidden="1" customHeight="1" x14ac:dyDescent="0.25">
      <c r="B21" s="13" t="s">
        <v>20</v>
      </c>
      <c r="C21" s="10">
        <v>801</v>
      </c>
      <c r="D21" s="10" t="s">
        <v>0</v>
      </c>
      <c r="E21" s="12" t="s">
        <v>3</v>
      </c>
      <c r="F21" s="11" t="s">
        <v>2</v>
      </c>
      <c r="G21" s="6">
        <v>0.23333333333333334</v>
      </c>
    </row>
    <row r="22" spans="2:7" ht="13.2" hidden="1" customHeight="1" x14ac:dyDescent="0.25">
      <c r="B22" s="13" t="s">
        <v>19</v>
      </c>
      <c r="C22" s="10">
        <v>802</v>
      </c>
      <c r="D22" s="10" t="s">
        <v>0</v>
      </c>
      <c r="E22" s="12" t="s">
        <v>10</v>
      </c>
      <c r="F22" s="11" t="s">
        <v>2</v>
      </c>
      <c r="G22" s="6">
        <v>0.33333333333333331</v>
      </c>
    </row>
    <row r="23" spans="2:7" ht="13.2" hidden="1" customHeight="1" x14ac:dyDescent="0.25">
      <c r="B23" s="13" t="s">
        <v>19</v>
      </c>
      <c r="C23" s="10">
        <v>803</v>
      </c>
      <c r="D23" s="10" t="s">
        <v>0</v>
      </c>
      <c r="E23" s="12" t="s">
        <v>5</v>
      </c>
      <c r="F23" s="11" t="s">
        <v>2</v>
      </c>
      <c r="G23" s="6">
        <v>0.1</v>
      </c>
    </row>
    <row r="24" spans="2:7" ht="13.2" hidden="1" customHeight="1" x14ac:dyDescent="0.25">
      <c r="B24" s="13" t="s">
        <v>19</v>
      </c>
      <c r="C24" s="10">
        <v>804</v>
      </c>
      <c r="D24" s="10" t="s">
        <v>0</v>
      </c>
      <c r="E24" s="12" t="s">
        <v>3</v>
      </c>
      <c r="F24" s="11" t="s">
        <v>2</v>
      </c>
      <c r="G24" s="6">
        <v>0.1</v>
      </c>
    </row>
    <row r="25" spans="2:7" ht="13.2" hidden="1" customHeight="1" x14ac:dyDescent="0.25">
      <c r="B25" s="13" t="s">
        <v>18</v>
      </c>
      <c r="C25" s="10">
        <v>806</v>
      </c>
      <c r="D25" s="10" t="s">
        <v>0</v>
      </c>
      <c r="E25" s="12" t="s">
        <v>5</v>
      </c>
      <c r="F25" s="11" t="s">
        <v>2</v>
      </c>
      <c r="G25" s="6">
        <v>0.13333333333333333</v>
      </c>
    </row>
    <row r="26" spans="2:7" ht="13.2" hidden="1" customHeight="1" x14ac:dyDescent="0.25">
      <c r="B26" s="13" t="s">
        <v>16</v>
      </c>
      <c r="C26" s="10">
        <v>809</v>
      </c>
      <c r="D26" s="10" t="s">
        <v>0</v>
      </c>
      <c r="E26" s="12" t="s">
        <v>10</v>
      </c>
      <c r="F26" s="11" t="s">
        <v>2</v>
      </c>
      <c r="G26" s="6">
        <v>0.4</v>
      </c>
    </row>
    <row r="27" spans="2:7" ht="13.2" hidden="1" customHeight="1" x14ac:dyDescent="0.25">
      <c r="B27" s="13" t="s">
        <v>15</v>
      </c>
      <c r="C27" s="10">
        <v>810</v>
      </c>
      <c r="D27" s="10" t="s">
        <v>0</v>
      </c>
      <c r="E27" s="12" t="s">
        <v>5</v>
      </c>
      <c r="F27" s="11" t="s">
        <v>2</v>
      </c>
      <c r="G27" s="6">
        <v>0.16666666666666666</v>
      </c>
    </row>
    <row r="28" spans="2:7" ht="13.2" hidden="1" customHeight="1" x14ac:dyDescent="0.25">
      <c r="B28" s="13" t="s">
        <v>14</v>
      </c>
      <c r="C28" s="10">
        <v>811</v>
      </c>
      <c r="D28" s="10" t="s">
        <v>0</v>
      </c>
      <c r="E28" s="12" t="s">
        <v>5</v>
      </c>
      <c r="F28" s="11" t="s">
        <v>2</v>
      </c>
      <c r="G28" s="6">
        <v>0.23333333333333334</v>
      </c>
    </row>
    <row r="29" spans="2:7" ht="13.2" hidden="1" customHeight="1" x14ac:dyDescent="0.25">
      <c r="B29" s="13" t="s">
        <v>12</v>
      </c>
      <c r="C29" s="10">
        <v>814</v>
      </c>
      <c r="D29" s="10" t="s">
        <v>0</v>
      </c>
      <c r="E29" s="12" t="s">
        <v>5</v>
      </c>
      <c r="F29" s="11" t="s">
        <v>2</v>
      </c>
      <c r="G29" s="6">
        <v>0.13333333333333333</v>
      </c>
    </row>
    <row r="30" spans="2:7" ht="13.2" hidden="1" customHeight="1" x14ac:dyDescent="0.25">
      <c r="B30" s="13" t="s">
        <v>11</v>
      </c>
      <c r="C30" s="10">
        <v>815</v>
      </c>
      <c r="D30" s="10" t="s">
        <v>0</v>
      </c>
      <c r="E30" s="12" t="s">
        <v>10</v>
      </c>
      <c r="F30" s="11" t="s">
        <v>2</v>
      </c>
      <c r="G30" s="6">
        <v>0.4</v>
      </c>
    </row>
    <row r="31" spans="2:7" ht="13.2" hidden="1" customHeight="1" x14ac:dyDescent="0.25">
      <c r="B31" s="13" t="s">
        <v>7</v>
      </c>
      <c r="C31" s="10">
        <v>817</v>
      </c>
      <c r="D31" s="10" t="s">
        <v>0</v>
      </c>
      <c r="E31" s="12" t="s">
        <v>5</v>
      </c>
      <c r="F31" s="11" t="s">
        <v>2</v>
      </c>
      <c r="G31" s="6">
        <v>0.26666666666666666</v>
      </c>
    </row>
    <row r="32" spans="2:7" ht="13.2" hidden="1" customHeight="1" x14ac:dyDescent="0.25">
      <c r="B32" s="13" t="s">
        <v>6</v>
      </c>
      <c r="C32" s="10">
        <v>818</v>
      </c>
      <c r="D32" s="10" t="s">
        <v>0</v>
      </c>
      <c r="E32" s="12" t="s">
        <v>5</v>
      </c>
      <c r="F32" s="11" t="s">
        <v>2</v>
      </c>
      <c r="G32" s="6">
        <v>0.1</v>
      </c>
    </row>
  </sheetData>
  <conditionalFormatting sqref="C6:D6">
    <cfRule type="duplicateValues" dxfId="11" priority="5" stopIfTrue="1"/>
    <cfRule type="duplicateValues" dxfId="10" priority="6"/>
  </conditionalFormatting>
  <conditionalFormatting sqref="C16:D16">
    <cfRule type="duplicateValues" dxfId="9" priority="3" stopIfTrue="1"/>
    <cfRule type="duplicateValues" dxfId="8" priority="4"/>
  </conditionalFormatting>
  <conditionalFormatting sqref="C17:D20 C7:D15 C4:D5">
    <cfRule type="duplicateValues" dxfId="7" priority="9" stopIfTrue="1"/>
    <cfRule type="duplicateValues" dxfId="6" priority="10"/>
  </conditionalFormatting>
  <conditionalFormatting sqref="C21:D32">
    <cfRule type="duplicateValues" dxfId="5" priority="1" stopIfTrue="1"/>
    <cfRule type="duplicateValues" dxfId="4" priority="2"/>
  </conditionalFormatting>
  <conditionalFormatting sqref="D4:D32">
    <cfRule type="duplicateValues" dxfId="3" priority="8"/>
  </conditionalFormatting>
  <conditionalFormatting sqref="G4:G32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{8EC53795-A05C-495A-8717-7595DCE191E9}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C53795-A05C-495A-8717-7595DCE191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G4:G32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523C6-419A-42F4-A510-BF2AC6F486C5}">
  <dimension ref="C2:H15"/>
  <sheetViews>
    <sheetView workbookViewId="0">
      <selection activeCell="C3" sqref="C3:H15"/>
    </sheetView>
  </sheetViews>
  <sheetFormatPr defaultRowHeight="13.2" x14ac:dyDescent="0.25"/>
  <cols>
    <col min="3" max="3" width="28.77734375" customWidth="1"/>
    <col min="4" max="4" width="10.5546875" hidden="1" customWidth="1"/>
    <col min="5" max="5" width="11.77734375" hidden="1" customWidth="1"/>
    <col min="6" max="6" width="32.21875" customWidth="1"/>
    <col min="8" max="8" width="12.109375" customWidth="1"/>
  </cols>
  <sheetData>
    <row r="2" spans="3:8" ht="13.8" thickBot="1" x14ac:dyDescent="0.3">
      <c r="C2" s="42" t="s">
        <v>123</v>
      </c>
      <c r="D2" s="43"/>
      <c r="E2" s="43"/>
      <c r="F2" s="43"/>
      <c r="G2" s="43"/>
      <c r="H2" s="43"/>
    </row>
    <row r="3" spans="3:8" ht="32.4" customHeight="1" thickBot="1" x14ac:dyDescent="0.3">
      <c r="C3" s="30" t="s">
        <v>115</v>
      </c>
      <c r="D3" s="28" t="s">
        <v>114</v>
      </c>
      <c r="E3" s="28" t="s">
        <v>113</v>
      </c>
      <c r="F3" s="28" t="s">
        <v>112</v>
      </c>
      <c r="G3" s="29" t="s">
        <v>111</v>
      </c>
      <c r="H3" s="22" t="s">
        <v>97</v>
      </c>
    </row>
    <row r="4" spans="3:8" ht="16.8" customHeight="1" x14ac:dyDescent="0.25">
      <c r="C4" s="13" t="s">
        <v>20</v>
      </c>
      <c r="D4" s="10">
        <v>801</v>
      </c>
      <c r="E4" s="10" t="s">
        <v>0</v>
      </c>
      <c r="F4" s="12" t="s">
        <v>3</v>
      </c>
      <c r="G4" s="11" t="s">
        <v>2</v>
      </c>
      <c r="H4" s="6">
        <v>0.23333333333333334</v>
      </c>
    </row>
    <row r="5" spans="3:8" ht="16.8" customHeight="1" x14ac:dyDescent="0.25">
      <c r="C5" s="13" t="s">
        <v>19</v>
      </c>
      <c r="D5" s="10">
        <v>802</v>
      </c>
      <c r="E5" s="10" t="s">
        <v>0</v>
      </c>
      <c r="F5" s="12" t="s">
        <v>10</v>
      </c>
      <c r="G5" s="11" t="s">
        <v>2</v>
      </c>
      <c r="H5" s="6">
        <v>0.33333333333333331</v>
      </c>
    </row>
    <row r="6" spans="3:8" ht="16.8" customHeight="1" x14ac:dyDescent="0.25">
      <c r="C6" s="13" t="s">
        <v>19</v>
      </c>
      <c r="D6" s="10">
        <v>803</v>
      </c>
      <c r="E6" s="10" t="s">
        <v>0</v>
      </c>
      <c r="F6" s="12" t="s">
        <v>5</v>
      </c>
      <c r="G6" s="11" t="s">
        <v>2</v>
      </c>
      <c r="H6" s="6">
        <v>0.1</v>
      </c>
    </row>
    <row r="7" spans="3:8" ht="16.8" customHeight="1" x14ac:dyDescent="0.25">
      <c r="C7" s="13" t="s">
        <v>19</v>
      </c>
      <c r="D7" s="10">
        <v>804</v>
      </c>
      <c r="E7" s="10" t="s">
        <v>0</v>
      </c>
      <c r="F7" s="12" t="s">
        <v>3</v>
      </c>
      <c r="G7" s="11" t="s">
        <v>2</v>
      </c>
      <c r="H7" s="6">
        <v>0.1</v>
      </c>
    </row>
    <row r="8" spans="3:8" ht="16.8" customHeight="1" x14ac:dyDescent="0.25">
      <c r="C8" s="13" t="s">
        <v>18</v>
      </c>
      <c r="D8" s="10">
        <v>806</v>
      </c>
      <c r="E8" s="10" t="s">
        <v>0</v>
      </c>
      <c r="F8" s="12" t="s">
        <v>5</v>
      </c>
      <c r="G8" s="11" t="s">
        <v>2</v>
      </c>
      <c r="H8" s="6">
        <v>0.13333333333333333</v>
      </c>
    </row>
    <row r="9" spans="3:8" ht="16.8" customHeight="1" x14ac:dyDescent="0.25">
      <c r="C9" s="13" t="s">
        <v>16</v>
      </c>
      <c r="D9" s="10">
        <v>809</v>
      </c>
      <c r="E9" s="10" t="s">
        <v>0</v>
      </c>
      <c r="F9" s="12" t="s">
        <v>10</v>
      </c>
      <c r="G9" s="11" t="s">
        <v>2</v>
      </c>
      <c r="H9" s="6">
        <v>0.4</v>
      </c>
    </row>
    <row r="10" spans="3:8" ht="16.8" customHeight="1" x14ac:dyDescent="0.25">
      <c r="C10" s="13" t="s">
        <v>15</v>
      </c>
      <c r="D10" s="10">
        <v>810</v>
      </c>
      <c r="E10" s="10" t="s">
        <v>0</v>
      </c>
      <c r="F10" s="12" t="s">
        <v>5</v>
      </c>
      <c r="G10" s="11" t="s">
        <v>2</v>
      </c>
      <c r="H10" s="6">
        <v>0.16666666666666666</v>
      </c>
    </row>
    <row r="11" spans="3:8" ht="16.8" customHeight="1" x14ac:dyDescent="0.25">
      <c r="C11" s="13" t="s">
        <v>14</v>
      </c>
      <c r="D11" s="10">
        <v>811</v>
      </c>
      <c r="E11" s="10" t="s">
        <v>0</v>
      </c>
      <c r="F11" s="12" t="s">
        <v>5</v>
      </c>
      <c r="G11" s="11" t="s">
        <v>2</v>
      </c>
      <c r="H11" s="6">
        <v>0.23333333333333334</v>
      </c>
    </row>
    <row r="12" spans="3:8" ht="16.8" customHeight="1" x14ac:dyDescent="0.25">
      <c r="C12" s="13" t="s">
        <v>12</v>
      </c>
      <c r="D12" s="10">
        <v>814</v>
      </c>
      <c r="E12" s="10" t="s">
        <v>0</v>
      </c>
      <c r="F12" s="12" t="s">
        <v>5</v>
      </c>
      <c r="G12" s="11" t="s">
        <v>2</v>
      </c>
      <c r="H12" s="6">
        <v>0.13333333333333333</v>
      </c>
    </row>
    <row r="13" spans="3:8" ht="16.8" customHeight="1" x14ac:dyDescent="0.25">
      <c r="C13" s="13" t="s">
        <v>11</v>
      </c>
      <c r="D13" s="10">
        <v>815</v>
      </c>
      <c r="E13" s="10" t="s">
        <v>0</v>
      </c>
      <c r="F13" s="12" t="s">
        <v>10</v>
      </c>
      <c r="G13" s="11" t="s">
        <v>2</v>
      </c>
      <c r="H13" s="6">
        <v>0.4</v>
      </c>
    </row>
    <row r="14" spans="3:8" ht="16.8" customHeight="1" x14ac:dyDescent="0.25">
      <c r="C14" s="13" t="s">
        <v>7</v>
      </c>
      <c r="D14" s="10">
        <v>817</v>
      </c>
      <c r="E14" s="10" t="s">
        <v>0</v>
      </c>
      <c r="F14" s="12" t="s">
        <v>5</v>
      </c>
      <c r="G14" s="11" t="s">
        <v>2</v>
      </c>
      <c r="H14" s="6">
        <v>0.26666666666666666</v>
      </c>
    </row>
    <row r="15" spans="3:8" ht="16.8" customHeight="1" x14ac:dyDescent="0.25">
      <c r="C15" s="13" t="s">
        <v>6</v>
      </c>
      <c r="D15" s="10">
        <v>818</v>
      </c>
      <c r="E15" s="10" t="s">
        <v>0</v>
      </c>
      <c r="F15" s="12" t="s">
        <v>5</v>
      </c>
      <c r="G15" s="11" t="s">
        <v>2</v>
      </c>
      <c r="H15" s="6">
        <v>0.1</v>
      </c>
    </row>
  </sheetData>
  <mergeCells count="1">
    <mergeCell ref="C2:H2"/>
  </mergeCells>
  <conditionalFormatting sqref="D4:E15">
    <cfRule type="duplicateValues" dxfId="2" priority="1" stopIfTrue="1"/>
    <cfRule type="duplicateValues" dxfId="1" priority="2"/>
  </conditionalFormatting>
  <conditionalFormatting sqref="E4:E15">
    <cfRule type="duplicateValues" dxfId="0" priority="4"/>
  </conditionalFormatting>
  <conditionalFormatting sqref="H4:H1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{DAD3FBF1-CEF5-49FE-8FC8-C288CB73BCD4}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D3FBF1-CEF5-49FE-8FC8-C288CB73BC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H4:H15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VEST + SISU (2)</vt:lpstr>
      <vt:lpstr>Planilha1</vt:lpstr>
      <vt:lpstr>Planilha2</vt:lpstr>
      <vt:lpstr>'VEST + SISU (2)'!Area_de_impressao</vt:lpstr>
      <vt:lpstr>'VEST + SISU (2)'!Titulos_de_impressao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Tiago da Silva Santos</cp:lastModifiedBy>
  <dcterms:created xsi:type="dcterms:W3CDTF">2026-04-22T19:32:11Z</dcterms:created>
  <dcterms:modified xsi:type="dcterms:W3CDTF">2026-04-28T20:25:35Z</dcterms:modified>
</cp:coreProperties>
</file>